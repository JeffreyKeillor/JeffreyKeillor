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ffrey/Desktop/Research Projects/Covalent reversible inhibition/Fitting/"/>
    </mc:Choice>
  </mc:AlternateContent>
  <xr:revisionPtr revIDLastSave="0" documentId="8_{F6E32186-DF7B-4745-8C29-2F7819337610}" xr6:coauthVersionLast="47" xr6:coauthVersionMax="47" xr10:uidLastSave="{00000000-0000-0000-0000-000000000000}"/>
  <bookViews>
    <workbookView xWindow="8440" yWindow="500" windowWidth="24720" windowHeight="21100" activeTab="1" xr2:uid="{5051B634-BF27-134E-B9AA-5A59D0D6CF90}"/>
  </bookViews>
  <sheets>
    <sheet name="Instructions" sheetId="93" r:id="rId1"/>
    <sheet name="Data" sheetId="2" r:id="rId2"/>
    <sheet name="Report" sheetId="3" r:id="rId3"/>
  </sheets>
  <functionGroups builtInGroupCount="19"/>
  <definedNames>
    <definedName name="_xlnm.Print_Area" localSheetId="2">Report!$A$1:$J$56</definedName>
    <definedName name="solver_adj" localSheetId="1" hidden="1">Data!$G$1:$G$3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Data!$G$3</definedName>
    <definedName name="solver_lhs2" localSheetId="1" hidden="1">Data!$G$2</definedName>
    <definedName name="solver_lhs3" localSheetId="1" hidden="1">Data!$G$2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Data!$G$11</definedName>
    <definedName name="solver_pre" localSheetId="1" hidden="1">0.000001</definedName>
    <definedName name="solver_rbv" localSheetId="1" hidden="1">2</definedName>
    <definedName name="solver_rel1" localSheetId="1" hidden="1">1</definedName>
    <definedName name="solver_rel2" localSheetId="1" hidden="1">3</definedName>
    <definedName name="solver_rel3" localSheetId="1" hidden="1">3</definedName>
    <definedName name="solver_rhs1" localSheetId="1" hidden="1">Data!$G$2</definedName>
    <definedName name="solver_rhs2" localSheetId="1" hidden="1">1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" l="1"/>
  <c r="G4" i="2" l="1"/>
  <c r="C81" i="2" l="1"/>
  <c r="C82" i="2"/>
  <c r="C83" i="2"/>
  <c r="C84" i="2"/>
  <c r="C85" i="2"/>
  <c r="C86" i="2"/>
  <c r="C87" i="2"/>
  <c r="C88" i="2"/>
  <c r="C89" i="2"/>
  <c r="C90" i="2"/>
  <c r="C80" i="2"/>
  <c r="C68" i="2" l="1"/>
  <c r="C69" i="2"/>
  <c r="C70" i="2"/>
  <c r="C71" i="2"/>
  <c r="C72" i="2"/>
  <c r="C73" i="2"/>
  <c r="C74" i="2"/>
  <c r="C75" i="2"/>
  <c r="C76" i="2"/>
  <c r="C77" i="2"/>
  <c r="C67" i="2"/>
  <c r="C55" i="2"/>
  <c r="C56" i="2"/>
  <c r="C57" i="2"/>
  <c r="C58" i="2"/>
  <c r="C59" i="2"/>
  <c r="C60" i="2"/>
  <c r="C61" i="2"/>
  <c r="C62" i="2"/>
  <c r="C63" i="2"/>
  <c r="C64" i="2"/>
  <c r="C54" i="2"/>
  <c r="C42" i="2"/>
  <c r="C43" i="2"/>
  <c r="C44" i="2"/>
  <c r="C45" i="2"/>
  <c r="C46" i="2"/>
  <c r="C47" i="2"/>
  <c r="C48" i="2"/>
  <c r="C49" i="2"/>
  <c r="C50" i="2"/>
  <c r="C51" i="2"/>
  <c r="C41" i="2"/>
  <c r="C29" i="2" l="1"/>
  <c r="C30" i="2"/>
  <c r="C31" i="2"/>
  <c r="C32" i="2"/>
  <c r="C33" i="2"/>
  <c r="C34" i="2"/>
  <c r="C35" i="2"/>
  <c r="C36" i="2"/>
  <c r="C37" i="2"/>
  <c r="C38" i="2"/>
  <c r="C28" i="2"/>
  <c r="C16" i="2"/>
  <c r="C17" i="2"/>
  <c r="C18" i="2"/>
  <c r="C19" i="2"/>
  <c r="C20" i="2"/>
  <c r="C21" i="2"/>
  <c r="C22" i="2"/>
  <c r="C23" i="2"/>
  <c r="C24" i="2"/>
  <c r="C25" i="2"/>
  <c r="C15" i="2"/>
  <c r="B10" i="2" l="1"/>
  <c r="H90" i="2"/>
  <c r="H89" i="2"/>
  <c r="H88" i="2"/>
  <c r="H87" i="2"/>
  <c r="H86" i="2"/>
  <c r="H85" i="2"/>
  <c r="H84" i="2"/>
  <c r="H83" i="2"/>
  <c r="H82" i="2"/>
  <c r="H81" i="2"/>
  <c r="H80" i="2"/>
  <c r="H79" i="2"/>
  <c r="H77" i="2"/>
  <c r="H76" i="2"/>
  <c r="H75" i="2"/>
  <c r="H74" i="2"/>
  <c r="H73" i="2"/>
  <c r="H72" i="2"/>
  <c r="H71" i="2"/>
  <c r="H70" i="2"/>
  <c r="H69" i="2"/>
  <c r="H68" i="2"/>
  <c r="H67" i="2"/>
  <c r="H66" i="2"/>
  <c r="H64" i="2"/>
  <c r="H63" i="2"/>
  <c r="H62" i="2"/>
  <c r="H61" i="2"/>
  <c r="H60" i="2"/>
  <c r="H59" i="2"/>
  <c r="H58" i="2"/>
  <c r="H57" i="2"/>
  <c r="H56" i="2"/>
  <c r="H55" i="2"/>
  <c r="H54" i="2"/>
  <c r="H53" i="2"/>
  <c r="H51" i="2"/>
  <c r="H50" i="2"/>
  <c r="H49" i="2"/>
  <c r="H48" i="2"/>
  <c r="H47" i="2"/>
  <c r="H46" i="2"/>
  <c r="H45" i="2"/>
  <c r="H44" i="2"/>
  <c r="H43" i="2"/>
  <c r="H42" i="2"/>
  <c r="H41" i="2"/>
  <c r="H40" i="2"/>
  <c r="H38" i="2"/>
  <c r="H37" i="2"/>
  <c r="H36" i="2"/>
  <c r="H35" i="2"/>
  <c r="H34" i="2"/>
  <c r="H33" i="2"/>
  <c r="H32" i="2"/>
  <c r="H31" i="2"/>
  <c r="H30" i="2"/>
  <c r="H29" i="2"/>
  <c r="H28" i="2"/>
  <c r="H27" i="2"/>
  <c r="H15" i="2"/>
  <c r="H16" i="2"/>
  <c r="H17" i="2"/>
  <c r="H18" i="2"/>
  <c r="H19" i="2"/>
  <c r="H20" i="2"/>
  <c r="H21" i="2"/>
  <c r="H22" i="2"/>
  <c r="H23" i="2"/>
  <c r="H24" i="2"/>
  <c r="H25" i="2"/>
  <c r="H14" i="2"/>
  <c r="F53" i="2" a="1"/>
  <c r="F14" i="2" a="1"/>
  <c r="F27" i="2" a="1"/>
  <c r="F40" i="2" a="1"/>
  <c r="F79" i="2" a="1"/>
  <c r="F66" i="2" a="1"/>
  <c r="F79" i="2" l="1"/>
  <c r="F66" i="2"/>
  <c r="F53" i="2"/>
  <c r="F40" i="2"/>
  <c r="F27" i="2"/>
  <c r="F14" i="2"/>
  <c r="H11" i="2"/>
  <c r="H39" i="3"/>
  <c r="G39" i="3"/>
  <c r="H23" i="3"/>
  <c r="G23" i="3"/>
  <c r="H7" i="3"/>
  <c r="G7" i="3"/>
  <c r="C39" i="3"/>
  <c r="B39" i="3"/>
  <c r="C23" i="3"/>
  <c r="B23" i="3"/>
  <c r="C7" i="3"/>
  <c r="B7" i="3"/>
  <c r="A81" i="2" l="1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B80" i="2"/>
  <c r="A80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B67" i="2"/>
  <c r="A67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B54" i="2"/>
  <c r="A54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B41" i="2"/>
  <c r="A41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B15" i="2"/>
  <c r="A15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B28" i="2"/>
  <c r="A28" i="2"/>
  <c r="H2" i="3"/>
  <c r="H1" i="3"/>
  <c r="C3" i="3"/>
  <c r="C4" i="3"/>
  <c r="C1" i="3"/>
  <c r="C2" i="3"/>
  <c r="G90" i="2"/>
  <c r="G79" i="2"/>
  <c r="F43" i="2" a="1"/>
  <c r="F42" i="2" a="1"/>
  <c r="F16" i="2" a="1"/>
  <c r="F21" i="2" a="1"/>
  <c r="F56" i="2" a="1"/>
  <c r="F67" i="2" a="1"/>
  <c r="F25" i="2" a="1"/>
  <c r="F15" i="2" a="1"/>
  <c r="F46" i="2" a="1"/>
  <c r="F89" i="2" a="1"/>
  <c r="F24" i="2" a="1"/>
  <c r="F37" i="2" a="1"/>
  <c r="F75" i="2" a="1"/>
  <c r="F83" i="2" a="1"/>
  <c r="F69" i="2" a="1"/>
  <c r="F86" i="2" a="1"/>
  <c r="F35" i="2" a="1"/>
  <c r="F60" i="2" a="1"/>
  <c r="F41" i="2" a="1"/>
  <c r="F61" i="2" a="1"/>
  <c r="F48" i="2" a="1"/>
  <c r="F32" i="2" a="1"/>
  <c r="F30" i="2" a="1"/>
  <c r="F34" i="2" a="1"/>
  <c r="F81" i="2" a="1"/>
  <c r="F80" i="2" a="1"/>
  <c r="F82" i="2" a="1"/>
  <c r="F29" i="2" a="1"/>
  <c r="F31" i="2" a="1"/>
  <c r="F88" i="2" a="1"/>
  <c r="F20" i="2" a="1"/>
  <c r="F64" i="2" a="1"/>
  <c r="F17" i="2" a="1"/>
  <c r="F70" i="2" a="1"/>
  <c r="F54" i="2" a="1"/>
  <c r="F36" i="2" a="1"/>
  <c r="F57" i="2" a="1"/>
  <c r="F77" i="2" a="1"/>
  <c r="F85" i="2" a="1"/>
  <c r="F55" i="2" a="1"/>
  <c r="F50" i="2" a="1"/>
  <c r="F68" i="2" a="1"/>
  <c r="F63" i="2" a="1"/>
  <c r="F51" i="2" a="1"/>
  <c r="F18" i="2" a="1"/>
  <c r="F19" i="2" a="1"/>
  <c r="F74" i="2" a="1"/>
  <c r="F22" i="2" a="1"/>
  <c r="F59" i="2" a="1"/>
  <c r="F76" i="2" a="1"/>
  <c r="F45" i="2" a="1"/>
  <c r="F90" i="2" a="1"/>
  <c r="F87" i="2" a="1"/>
  <c r="F28" i="2" a="1"/>
  <c r="F73" i="2" a="1"/>
  <c r="F47" i="2" a="1"/>
  <c r="F84" i="2" a="1"/>
  <c r="F49" i="2" a="1"/>
  <c r="F23" i="2" a="1"/>
  <c r="F38" i="2" a="1"/>
  <c r="F72" i="2" a="1"/>
  <c r="F44" i="2" a="1"/>
  <c r="F62" i="2" a="1"/>
  <c r="F58" i="2" a="1"/>
  <c r="F33" i="2" a="1"/>
  <c r="F71" i="2" a="1"/>
  <c r="F83" i="2" l="1"/>
  <c r="G83" i="2" s="1"/>
  <c r="F88" i="2"/>
  <c r="G88" i="2" s="1"/>
  <c r="F87" i="2"/>
  <c r="G87" i="2" s="1"/>
  <c r="F84" i="2"/>
  <c r="G84" i="2" s="1"/>
  <c r="F80" i="2"/>
  <c r="G80" i="2" s="1"/>
  <c r="F90" i="2"/>
  <c r="F86" i="2"/>
  <c r="G86" i="2" s="1"/>
  <c r="F82" i="2"/>
  <c r="G82" i="2" s="1"/>
  <c r="F89" i="2"/>
  <c r="G89" i="2" s="1"/>
  <c r="F85" i="2"/>
  <c r="G85" i="2" s="1"/>
  <c r="F81" i="2"/>
  <c r="F68" i="2"/>
  <c r="F71" i="2"/>
  <c r="F70" i="2"/>
  <c r="F76" i="2"/>
  <c r="F67" i="2"/>
  <c r="F74" i="2"/>
  <c r="F72" i="2"/>
  <c r="F75" i="2"/>
  <c r="F77" i="2"/>
  <c r="F73" i="2"/>
  <c r="F69" i="2"/>
  <c r="F64" i="2"/>
  <c r="F56" i="2"/>
  <c r="F59" i="2"/>
  <c r="F62" i="2"/>
  <c r="F61" i="2"/>
  <c r="F57" i="2"/>
  <c r="F60" i="2"/>
  <c r="F63" i="2"/>
  <c r="F55" i="2"/>
  <c r="F58" i="2"/>
  <c r="F54" i="2"/>
  <c r="F44" i="2"/>
  <c r="F41" i="2"/>
  <c r="F48" i="2"/>
  <c r="F51" i="2"/>
  <c r="F46" i="2"/>
  <c r="F47" i="2"/>
  <c r="F42" i="2"/>
  <c r="F43" i="2"/>
  <c r="F50" i="2"/>
  <c r="F49" i="2"/>
  <c r="F45" i="2"/>
  <c r="F36" i="2"/>
  <c r="F29" i="2"/>
  <c r="F37" i="2"/>
  <c r="F33" i="2"/>
  <c r="F32" i="2"/>
  <c r="F28" i="2"/>
  <c r="F35" i="2"/>
  <c r="F31" i="2"/>
  <c r="F38" i="2"/>
  <c r="F34" i="2"/>
  <c r="F30" i="2"/>
  <c r="F23" i="2"/>
  <c r="F19" i="2"/>
  <c r="F17" i="2"/>
  <c r="F18" i="2"/>
  <c r="F20" i="2"/>
  <c r="F22" i="2"/>
  <c r="F15" i="2"/>
  <c r="F25" i="2"/>
  <c r="F21" i="2"/>
  <c r="F24" i="2"/>
  <c r="F16" i="2"/>
  <c r="G81" i="2"/>
  <c r="H3" i="3" l="1"/>
  <c r="G25" i="2"/>
  <c r="G20" i="2" l="1"/>
  <c r="G15" i="2" l="1"/>
  <c r="G22" i="2" l="1"/>
  <c r="G19" i="2" l="1"/>
  <c r="G17" i="2"/>
  <c r="G16" i="2"/>
  <c r="G23" i="2" l="1"/>
  <c r="G18" i="2" l="1"/>
  <c r="G14" i="2" l="1"/>
  <c r="G24" i="2"/>
  <c r="G21" i="2" l="1"/>
  <c r="G38" i="2" l="1"/>
  <c r="G33" i="2" l="1"/>
  <c r="G28" i="2" l="1"/>
  <c r="G35" i="2" l="1"/>
  <c r="G32" i="2" l="1"/>
  <c r="G30" i="2"/>
  <c r="G29" i="2"/>
  <c r="G36" i="2" l="1"/>
  <c r="G31" i="2" l="1"/>
  <c r="G27" i="2" l="1"/>
  <c r="G37" i="2"/>
  <c r="G34" i="2" l="1"/>
  <c r="G51" i="2" l="1"/>
  <c r="G46" i="2" l="1"/>
  <c r="G41" i="2" l="1"/>
  <c r="G48" i="2" l="1"/>
  <c r="G45" i="2" l="1"/>
  <c r="G44" i="2"/>
  <c r="G43" i="2"/>
  <c r="G42" i="2"/>
  <c r="G49" i="2" l="1"/>
  <c r="G40" i="2" l="1"/>
  <c r="G50" i="2"/>
  <c r="G47" i="2" l="1"/>
  <c r="G64" i="2" l="1"/>
  <c r="G59" i="2" l="1"/>
  <c r="G54" i="2" l="1"/>
  <c r="G61" i="2" l="1"/>
  <c r="G58" i="2" l="1"/>
  <c r="G57" i="2"/>
  <c r="G56" i="2"/>
  <c r="G55" i="2"/>
  <c r="G62" i="2" l="1"/>
  <c r="G53" i="2" l="1"/>
  <c r="G63" i="2"/>
  <c r="G60" i="2" l="1"/>
  <c r="G77" i="2" l="1"/>
  <c r="G67" i="2" l="1"/>
  <c r="G72" i="2" l="1"/>
  <c r="G74" i="2" l="1"/>
  <c r="G70" i="2" l="1"/>
  <c r="G69" i="2" l="1"/>
  <c r="G73" i="2" l="1"/>
  <c r="G71" i="2" l="1"/>
  <c r="G68" i="2" l="1"/>
  <c r="G75" i="2" l="1"/>
  <c r="G66" i="2" l="1"/>
  <c r="G76" i="2" l="1"/>
  <c r="G11" i="2" s="1"/>
  <c r="J11" i="2" l="1"/>
  <c r="H5" i="3" s="1"/>
  <c r="I11" i="2"/>
  <c r="H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Jeffrey W. Keillor</author>
  </authors>
  <commentList>
    <comment ref="C13" authorId="0" shapeId="0" xr:uid="{C5BED859-1908-B543-B504-24ECD76BD8B0}">
      <text>
        <r>
          <rPr>
            <b/>
            <sz val="10"/>
            <color rgb="FF000000"/>
            <rFont val="Tahoma"/>
            <family val="2"/>
          </rPr>
          <t>Set 'Response coefficient' for each dataset to give 'Predicted Signal' of 100% at [I]=0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<sst xmlns="http://schemas.openxmlformats.org/spreadsheetml/2006/main" count="69" uniqueCount="69">
  <si>
    <t>Test compound name</t>
  </si>
  <si>
    <t>Date</t>
  </si>
  <si>
    <t>Incubation time (min)</t>
  </si>
  <si>
    <t>[Substrate] (µM)</t>
  </si>
  <si>
    <t>[Enzyme] (µM)</t>
  </si>
  <si>
    <r>
      <t>k</t>
    </r>
    <r>
      <rPr>
        <b/>
        <vertAlign val="subscript"/>
        <sz val="12"/>
        <color theme="1"/>
        <rFont val="ArialMT"/>
      </rPr>
      <t>cat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</si>
  <si>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r>
      <t>K</t>
    </r>
    <r>
      <rPr>
        <b/>
        <vertAlign val="subscript"/>
        <sz val="12"/>
        <color theme="1"/>
        <rFont val="ArialMT"/>
      </rPr>
      <t>M</t>
    </r>
    <r>
      <rPr>
        <b/>
        <sz val="12"/>
        <color theme="1"/>
        <rFont val="ArialMT"/>
      </rPr>
      <t xml:space="preserve"> (µM)</t>
    </r>
  </si>
  <si>
    <t>Response coefficient</t>
  </si>
  <si>
    <t>[Inhibitor] (µM)</t>
  </si>
  <si>
    <t>Signal</t>
  </si>
  <si>
    <t>Date :</t>
  </si>
  <si>
    <t>[Substrate] (µM) :</t>
  </si>
  <si>
    <t>[Enzyme] (µM) :</t>
  </si>
  <si>
    <t>Test compound name :</t>
  </si>
  <si>
    <t>Residual</t>
  </si>
  <si>
    <r>
      <t>R</t>
    </r>
    <r>
      <rPr>
        <b/>
        <vertAlign val="superscript"/>
        <sz val="12"/>
        <color theme="1"/>
        <rFont val="ArialMT"/>
      </rPr>
      <t>2</t>
    </r>
  </si>
  <si>
    <t>Deviation</t>
  </si>
  <si>
    <t>Sum Sq. Residual</t>
  </si>
  <si>
    <t>Sum Sq. Total</t>
  </si>
  <si>
    <t>RMS Error</t>
  </si>
  <si>
    <t>RMSE =</t>
  </si>
  <si>
    <r>
      <t>R</t>
    </r>
    <r>
      <rPr>
        <b/>
        <vertAlign val="superscript"/>
        <sz val="12"/>
        <color theme="1"/>
        <rFont val="ArialMT"/>
      </rPr>
      <t>2</t>
    </r>
    <r>
      <rPr>
        <b/>
        <sz val="12"/>
        <color theme="1"/>
        <rFont val="ArialMT"/>
      </rPr>
      <t xml:space="preserve"> =</t>
    </r>
  </si>
  <si>
    <t>After fitting, Save As under a new filename.</t>
  </si>
  <si>
    <t>Generalities</t>
  </si>
  <si>
    <t>Input</t>
  </si>
  <si>
    <t>Specifics</t>
  </si>
  <si>
    <t>Then enter the raw data for each IC50 curve.</t>
  </si>
  <si>
    <t>This includes the pre-incubation time (where enzyme is incubated with inhibitor prior to addition of substrate),</t>
  </si>
  <si>
    <t>the incubation time (which begins with addition of substrate and ends with reaction quenching/reading)</t>
  </si>
  <si>
    <t>Next, enter an estimate 'Response coefficient' value for each data set.  This is a scalar value that mirrors the normalisation process.</t>
  </si>
  <si>
    <t>For experiments in which the incubation time does not change from curve to curve, use the same number for each data set.</t>
  </si>
  <si>
    <t>Pre-incubation vol. (µL)</t>
  </si>
  <si>
    <t>Incubation vol. (µL)</t>
  </si>
  <si>
    <t>Dilution factor =</t>
  </si>
  <si>
    <t>Pre-incubation time
 (min)</t>
  </si>
  <si>
    <t>Predicted Signal</t>
  </si>
  <si>
    <t>This includes the enzyme concentration, the substrate concentration, the substrate Km value and the reaction kcat value,</t>
  </si>
  <si>
    <t xml:space="preserve">On the 'Report' sheet you will find a printable format of the results, </t>
  </si>
  <si>
    <t xml:space="preserve">including the final values for the kinetic parameters, </t>
  </si>
  <si>
    <t>On the Data sheet, enter the name of inhibitor and date of evaluation.</t>
  </si>
  <si>
    <t>Then enter the parameters for the enzyme reaction of the activity assay.  This information will not change from run to run.</t>
  </si>
  <si>
    <t>Only enter information in the orange 'input' cells:</t>
  </si>
  <si>
    <t>inhibitor</t>
  </si>
  <si>
    <t>date</t>
  </si>
  <si>
    <t>Finally, navigate to the 'Data' menu and click on 'Solver'.  The conditions should be pre-set, so you can just click 'Solve'.</t>
  </si>
  <si>
    <t>the total volume of the assay mix during this pre-incubation, and the total volume of the assay mix during the incubation step</t>
  </si>
  <si>
    <t>(representing a slight dilution of the pre-incubation mixture).</t>
  </si>
  <si>
    <t>and finally the normalised % signal measured at each inhibitor concentration.</t>
  </si>
  <si>
    <t>Enter a value that brings the 'Predicted signal' up to ~100% in the presence of 'zero' inhibitor.</t>
  </si>
  <si>
    <r>
      <t>Next, enter initial estimate values for k</t>
    </r>
    <r>
      <rPr>
        <i/>
        <vertAlign val="subscript"/>
        <sz val="12"/>
        <color rgb="FF7F7F7F"/>
        <rFont val="ArialMT"/>
      </rPr>
      <t>inact</t>
    </r>
    <r>
      <rPr>
        <i/>
        <sz val="12"/>
        <color rgb="FF7F7F7F"/>
        <rFont val="ArialMT"/>
        <family val="2"/>
      </rPr>
      <t xml:space="preserve"> and K</t>
    </r>
    <r>
      <rPr>
        <i/>
        <vertAlign val="subscript"/>
        <sz val="12"/>
        <color rgb="FF7F7F7F"/>
        <rFont val="ArialMT"/>
      </rPr>
      <t>I</t>
    </r>
    <r>
      <rPr>
        <i/>
        <sz val="12"/>
        <color rgb="FF7F7F7F"/>
        <rFont val="ArialMT"/>
        <family val="2"/>
      </rPr>
      <t xml:space="preserve">.  </t>
    </r>
  </si>
  <si>
    <t>The lines of the predicted values appearing in the curves shown in column I will reflect the initial values, allowing for some manual adjustment.</t>
  </si>
  <si>
    <r>
      <t>The K</t>
    </r>
    <r>
      <rPr>
        <i/>
        <vertAlign val="subscript"/>
        <sz val="12"/>
        <color rgb="FF7F7F7F"/>
        <rFont val="ArialMT"/>
      </rPr>
      <t xml:space="preserve">I </t>
    </r>
    <r>
      <rPr>
        <i/>
        <sz val="12"/>
        <color rgb="FF7F7F7F"/>
        <rFont val="ArialMT"/>
        <family val="2"/>
      </rPr>
      <t>value will shift the predicted curve along the x-axis, while the k</t>
    </r>
    <r>
      <rPr>
        <i/>
        <vertAlign val="subscript"/>
        <sz val="12"/>
        <color rgb="FF7F7F7F"/>
        <rFont val="ArialMT"/>
      </rPr>
      <t>inact</t>
    </r>
    <r>
      <rPr>
        <i/>
        <sz val="12"/>
        <color rgb="FF7F7F7F"/>
        <rFont val="ArialMT"/>
        <family val="2"/>
      </rPr>
      <t xml:space="preserve"> value will alter the degree of time-dependence.</t>
    </r>
  </si>
  <si>
    <r>
      <t>Otherwise, values of 1 min</t>
    </r>
    <r>
      <rPr>
        <i/>
        <vertAlign val="superscript"/>
        <sz val="12"/>
        <color rgb="FF7F7F7F"/>
        <rFont val="ArialMT"/>
      </rPr>
      <t>-1</t>
    </r>
    <r>
      <rPr>
        <i/>
        <sz val="12"/>
        <color rgb="FF7F7F7F"/>
        <rFont val="ArialMT"/>
        <family val="2"/>
      </rPr>
      <t xml:space="preserve"> and 1 µM are reasonable initial estimates.</t>
    </r>
  </si>
  <si>
    <t>Solver will optimise the values of cells G1 and G2, in order to minimise the RSS shown in cell G11.</t>
  </si>
  <si>
    <r>
      <t>After a few iterations, the best fit values for k</t>
    </r>
    <r>
      <rPr>
        <i/>
        <vertAlign val="subscript"/>
        <sz val="12"/>
        <color rgb="FF7F7F7F"/>
        <rFont val="ArialMT"/>
      </rPr>
      <t>inact</t>
    </r>
    <r>
      <rPr>
        <i/>
        <sz val="12"/>
        <color rgb="FF7F7F7F"/>
        <rFont val="ArialMT"/>
        <family val="2"/>
      </rPr>
      <t xml:space="preserve"> and K</t>
    </r>
    <r>
      <rPr>
        <i/>
        <vertAlign val="subscript"/>
        <sz val="12"/>
        <color rgb="FF7F7F7F"/>
        <rFont val="ArialMT"/>
      </rPr>
      <t>I</t>
    </r>
    <r>
      <rPr>
        <i/>
        <sz val="12"/>
        <color rgb="FF7F7F7F"/>
        <rFont val="ArialMT"/>
        <family val="2"/>
      </rPr>
      <t xml:space="preserve"> will be reported in the same cells where you entered the initial estimates.</t>
    </r>
  </si>
  <si>
    <r>
      <t>The goodness of fit can be interpreted from the correlation (R</t>
    </r>
    <r>
      <rPr>
        <i/>
        <vertAlign val="superscript"/>
        <sz val="12"/>
        <color rgb="FF7F7F7F"/>
        <rFont val="ArialMT"/>
      </rPr>
      <t>2</t>
    </r>
    <r>
      <rPr>
        <i/>
        <sz val="12"/>
        <color rgb="FF7F7F7F"/>
        <rFont val="ArialMT"/>
        <family val="2"/>
      </rPr>
      <t>) and from the RMS error (the typical vertical distance from the best fit line to a data point).</t>
    </r>
  </si>
  <si>
    <r>
      <t>the goodness of fit measurements, and the IC</t>
    </r>
    <r>
      <rPr>
        <i/>
        <vertAlign val="subscript"/>
        <sz val="12"/>
        <color rgb="FF7F7F7F"/>
        <rFont val="ArialMT"/>
      </rPr>
      <t>50</t>
    </r>
    <r>
      <rPr>
        <i/>
        <sz val="12"/>
        <color rgb="FF7F7F7F"/>
        <rFont val="ArialMT"/>
        <family val="2"/>
      </rPr>
      <t xml:space="preserve"> datasets including the predicted values.</t>
    </r>
  </si>
  <si>
    <r>
      <t>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(µM)</t>
    </r>
  </si>
  <si>
    <r>
      <t>k</t>
    </r>
    <r>
      <rPr>
        <b/>
        <vertAlign val="subscript"/>
        <sz val="12"/>
        <color theme="1"/>
        <rFont val="ArialMT"/>
      </rPr>
      <t>5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</si>
  <si>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r>
      <t>k</t>
    </r>
    <r>
      <rPr>
        <b/>
        <vertAlign val="subscript"/>
        <sz val="12"/>
        <color theme="1"/>
        <rFont val="ArialMT"/>
      </rPr>
      <t>6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</si>
  <si>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r>
      <t>K</t>
    </r>
    <r>
      <rPr>
        <b/>
        <vertAlign val="subscript"/>
        <sz val="12"/>
        <color theme="1"/>
        <rFont val="ArialMT"/>
      </rPr>
      <t>i</t>
    </r>
    <r>
      <rPr>
        <b/>
        <vertAlign val="superscript"/>
        <sz val="12"/>
        <color theme="1"/>
        <rFont val="ArialMT"/>
      </rPr>
      <t>*</t>
    </r>
    <r>
      <rPr>
        <b/>
        <sz val="12"/>
        <color theme="1"/>
        <rFont val="ArialMT"/>
      </rPr>
      <t xml:space="preserve"> (µM)</t>
    </r>
  </si>
  <si>
    <t>Resp. Coeff. Calculator</t>
  </si>
  <si>
    <t>Current Resp. Coeff.</t>
  </si>
  <si>
    <t>New Resp. Coeff.</t>
  </si>
  <si>
    <t>Current Signal @ 0 Inh</t>
  </si>
  <si>
    <r>
      <t>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(µM) =</t>
    </r>
  </si>
  <si>
    <r>
      <t>k</t>
    </r>
    <r>
      <rPr>
        <b/>
        <vertAlign val="subscript"/>
        <sz val="12"/>
        <color theme="1"/>
        <rFont val="ArialMT"/>
      </rPr>
      <t>5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 =</t>
    </r>
  </si>
  <si>
    <r>
      <t>k</t>
    </r>
    <r>
      <rPr>
        <b/>
        <vertAlign val="subscript"/>
        <sz val="12"/>
        <color theme="1"/>
        <rFont val="ArialMT"/>
      </rPr>
      <t>6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 =</t>
    </r>
  </si>
  <si>
    <t>You may wish to use cells E7 and E8 to assist with this calculation.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</si>
</sst>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;@"/>
    <numFmt numFmtId="165" formatCode="0.000"/>
    <numFmt numFmtId="166" formatCode="0.0000"/>
    <numFmt numFmtId="167" formatCode="0.00000"/>
    <numFmt numFmtId="168" formatCode="0.000000"/>
  </numFmts>
  <fonts count="21">
    <font>
      <sz val="12"/>
      <color theme="1"/>
      <name val="ArialMT"/>
      <family val="2"/>
    </font>
    <font>
      <sz val="12"/>
      <color rgb="FF3F3F76"/>
      <name val="ArialMT"/>
      <family val="2"/>
    </font>
    <font>
      <b/>
      <sz val="12"/>
      <color rgb="FF3F3F3F"/>
      <name val="ArialMT"/>
      <family val="2"/>
    </font>
    <font>
      <b/>
      <sz val="12"/>
      <color rgb="FFFA7D00"/>
      <name val="ArialMT"/>
      <family val="2"/>
    </font>
    <font>
      <i/>
      <sz val="12"/>
      <color rgb="FF7F7F7F"/>
      <name val="ArialMT"/>
      <family val="2"/>
    </font>
    <font>
      <b/>
      <sz val="12"/>
      <color theme="1"/>
      <name val="ArialMT"/>
    </font>
    <font>
      <b/>
      <vertAlign val="subscript"/>
      <sz val="12"/>
      <color theme="1"/>
      <name val="ArialMT"/>
    </font>
    <font>
      <b/>
      <vertAlign val="superscript"/>
      <sz val="12"/>
      <color theme="1"/>
      <name val="ArialMT"/>
    </font>
    <font>
      <b/>
      <i/>
      <sz val="12"/>
      <color theme="1"/>
      <name val="ArialMT"/>
    </font>
    <font>
      <b/>
      <sz val="12"/>
      <color rgb="FFFF0000"/>
      <name val="ArialMT"/>
      <family val="2"/>
    </font>
    <font>
      <b/>
      <i/>
      <sz val="12"/>
      <color rgb="FF7F7F7F"/>
      <name val="ArialMT"/>
    </font>
    <font>
      <b/>
      <sz val="12"/>
      <color rgb="FF3F3F76"/>
      <name val="ArialMT"/>
    </font>
    <font>
      <sz val="10"/>
      <name val="Arial"/>
      <family val="2"/>
    </font>
    <font>
      <sz val="12"/>
      <color rgb="FFFF0000"/>
      <name val="ArialMT"/>
      <family val="2"/>
    </font>
    <font>
      <sz val="12"/>
      <color theme="4" tint="-0.499984740745262"/>
      <name val="ArialMT"/>
      <family val="2"/>
    </font>
    <font>
      <b/>
      <i/>
      <sz val="10"/>
      <color rgb="FFFF0000"/>
      <name val="ArialMT"/>
    </font>
    <font>
      <b/>
      <sz val="10"/>
      <color rgb="FF000000"/>
      <name val="Tahoma"/>
      <family val="2"/>
    </font>
    <font>
      <i/>
      <vertAlign val="superscript"/>
      <sz val="12"/>
      <color rgb="FF7F7F7F"/>
      <name val="ArialMT"/>
    </font>
    <font>
      <i/>
      <vertAlign val="subscript"/>
      <sz val="12"/>
      <color rgb="FF7F7F7F"/>
      <name val="ArialMT"/>
    </font>
    <font>
      <i/>
      <sz val="12"/>
      <color theme="1"/>
      <name val="ArialMT"/>
      <family val="2"/>
    </font>
    <font>
      <sz val="12"/>
      <color rgb="FF3F3F76"/>
      <name val="ArialMT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rgb="FF000000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4" borderId="0" xfId="0" applyFill="1"/>
    <xf numFmtId="0" fontId="5" fillId="4" borderId="0" xfId="0" applyFont="1" applyFill="1" applyAlignment="1">
      <alignment horizontal="right"/>
    </xf>
    <xf numFmtId="0" fontId="1" fillId="2" borderId="1" xfId="1"/>
    <xf numFmtId="0" fontId="5" fillId="5" borderId="0" xfId="0" applyFont="1" applyFill="1" applyAlignment="1">
      <alignment horizontal="right" vertical="center"/>
    </xf>
    <xf numFmtId="0" fontId="1" fillId="2" borderId="1" xfId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/>
    </xf>
    <xf numFmtId="0" fontId="0" fillId="6" borderId="0" xfId="0" applyFill="1"/>
    <xf numFmtId="0" fontId="5" fillId="7" borderId="0" xfId="0" applyFont="1" applyFill="1" applyAlignment="1">
      <alignment horizontal="right" vertical="center"/>
    </xf>
    <xf numFmtId="0" fontId="8" fillId="4" borderId="0" xfId="0" applyFont="1" applyFill="1"/>
    <xf numFmtId="0" fontId="0" fillId="8" borderId="0" xfId="0" applyFill="1"/>
    <xf numFmtId="0" fontId="8" fillId="8" borderId="0" xfId="0" applyFont="1" applyFill="1"/>
    <xf numFmtId="0" fontId="0" fillId="9" borderId="0" xfId="0" applyFill="1"/>
    <xf numFmtId="0" fontId="8" fillId="9" borderId="0" xfId="0" applyFont="1" applyFill="1"/>
    <xf numFmtId="0" fontId="0" fillId="10" borderId="0" xfId="0" applyFill="1"/>
    <xf numFmtId="0" fontId="8" fillId="10" borderId="0" xfId="0" applyFont="1" applyFill="1"/>
    <xf numFmtId="0" fontId="0" fillId="11" borderId="0" xfId="0" applyFill="1"/>
    <xf numFmtId="0" fontId="8" fillId="11" borderId="0" xfId="0" applyFont="1" applyFill="1"/>
    <xf numFmtId="0" fontId="0" fillId="12" borderId="0" xfId="0" applyFill="1"/>
    <xf numFmtId="0" fontId="8" fillId="12" borderId="0" xfId="0" applyFont="1" applyFill="1"/>
    <xf numFmtId="164" fontId="1" fillId="2" borderId="1" xfId="1" applyNumberFormat="1" applyAlignment="1">
      <alignment horizontal="left"/>
    </xf>
    <xf numFmtId="0" fontId="2" fillId="3" borderId="2" xfId="2" applyAlignment="1">
      <alignment horizontal="center"/>
    </xf>
    <xf numFmtId="0" fontId="2" fillId="3" borderId="2" xfId="2" applyAlignment="1">
      <alignment horizontal="left"/>
    </xf>
    <xf numFmtId="0" fontId="0" fillId="4" borderId="0" xfId="0" applyFill="1" applyAlignment="1">
      <alignment horizontal="left"/>
    </xf>
    <xf numFmtId="164" fontId="0" fillId="4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166" fontId="0" fillId="7" borderId="0" xfId="0" applyNumberFormat="1" applyFill="1" applyAlignment="1">
      <alignment horizontal="left"/>
    </xf>
    <xf numFmtId="167" fontId="1" fillId="2" borderId="1" xfId="1" applyNumberFormat="1" applyAlignment="1">
      <alignment horizontal="center" vertical="center"/>
    </xf>
    <xf numFmtId="165" fontId="0" fillId="0" borderId="0" xfId="0" applyNumberFormat="1"/>
    <xf numFmtId="165" fontId="0" fillId="6" borderId="0" xfId="0" applyNumberFormat="1" applyFill="1"/>
    <xf numFmtId="1" fontId="3" fillId="3" borderId="1" xfId="3" applyNumberFormat="1" applyAlignment="1">
      <alignment horizontal="center"/>
    </xf>
    <xf numFmtId="166" fontId="3" fillId="3" borderId="1" xfId="3" applyNumberFormat="1" applyAlignment="1">
      <alignment horizontal="center" vertical="center"/>
    </xf>
    <xf numFmtId="165" fontId="3" fillId="3" borderId="1" xfId="3" applyNumberFormat="1" applyAlignment="1">
      <alignment horizontal="center" vertical="center"/>
    </xf>
    <xf numFmtId="165" fontId="0" fillId="7" borderId="0" xfId="0" applyNumberFormat="1" applyFill="1" applyAlignment="1">
      <alignment horizontal="left"/>
    </xf>
    <xf numFmtId="0" fontId="4" fillId="0" borderId="0" xfId="4"/>
    <xf numFmtId="0" fontId="10" fillId="0" borderId="0" xfId="4" applyFont="1"/>
    <xf numFmtId="0" fontId="2" fillId="3" borderId="2" xfId="2" applyAlignment="1">
      <alignment horizontal="left" vertical="center"/>
    </xf>
    <xf numFmtId="0" fontId="11" fillId="2" borderId="1" xfId="1" applyFont="1" applyAlignment="1">
      <alignment horizontal="center"/>
    </xf>
    <xf numFmtId="0" fontId="2" fillId="13" borderId="2" xfId="0" applyFont="1" applyFill="1" applyBorder="1" applyAlignment="1">
      <alignment horizontal="center"/>
    </xf>
    <xf numFmtId="167" fontId="1" fillId="0" borderId="0" xfId="1" applyNumberForma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0" xfId="1" applyFill="1" applyBorder="1"/>
    <xf numFmtId="0" fontId="12" fillId="0" borderId="0" xfId="0" applyFont="1"/>
    <xf numFmtId="0" fontId="13" fillId="0" borderId="0" xfId="1" applyFont="1" applyFill="1" applyBorder="1"/>
    <xf numFmtId="0" fontId="14" fillId="2" borderId="1" xfId="1" applyFont="1"/>
    <xf numFmtId="0" fontId="15" fillId="0" borderId="0" xfId="0" applyFont="1" applyAlignment="1">
      <alignment horizontal="center" vertical="center" wrapText="1"/>
    </xf>
    <xf numFmtId="0" fontId="1" fillId="2" borderId="4" xfId="1" applyBorder="1" applyAlignment="1">
      <alignment horizontal="center" vertical="center"/>
    </xf>
    <xf numFmtId="167" fontId="1" fillId="2" borderId="4" xfId="1" applyNumberFormat="1" applyBorder="1" applyAlignment="1">
      <alignment horizontal="center" vertical="center"/>
    </xf>
    <xf numFmtId="165" fontId="9" fillId="3" borderId="5" xfId="2" applyNumberFormat="1" applyFont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49" fontId="19" fillId="0" borderId="0" xfId="4" applyNumberFormat="1" applyFont="1"/>
    <xf numFmtId="0" fontId="5" fillId="0" borderId="0" xfId="0" applyFont="1" applyAlignment="1">
      <alignment horizontal="right"/>
    </xf>
    <xf numFmtId="0" fontId="2" fillId="3" borderId="2" xfId="2"/>
    <xf numFmtId="0" fontId="1" fillId="2" borderId="1" xfId="1" applyAlignment="1">
      <alignment horizontal="left"/>
    </xf>
    <xf numFmtId="0" fontId="20" fillId="2" borderId="1" xfId="1" applyFont="1" applyAlignment="1">
      <alignment horizontal="left" vertical="center"/>
    </xf>
    <xf numFmtId="168" fontId="11" fillId="2" borderId="1" xfId="1" applyNumberFormat="1" applyFont="1" applyAlignment="1">
      <alignment horizontal="center"/>
    </xf>
    <xf numFmtId="0" fontId="10" fillId="0" borderId="0" xfId="4" applyFont="1" applyAlignment="1">
      <alignment horizontal="left"/>
    </xf>
    <xf numFmtId="0" fontId="8" fillId="7" borderId="0" xfId="0" applyFont="1" applyFill="1" applyAlignment="1">
      <alignment horizontal="center"/>
    </xf>
  </cellXfs>
  <cellStyles count="5">
    <cellStyle name="Calculation" xfId="3" builtinId="22"/>
    <cellStyle name="Explanatory Text" xfId="4" builtinId="53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colors>
    <mruColors>
      <color rgb="FFFF9A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7025827425098827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Data!$E$14:$E$25</c:f>
              <c:numCache>
                <c:formatCode>General</c:formatCode>
                <c:ptCount val="12"/>
                <c:pt idx="0">
                  <c:v>9.2831727731224412</c:v>
                </c:pt>
                <c:pt idx="1">
                  <c:v>23.48056431735375</c:v>
                </c:pt>
                <c:pt idx="2">
                  <c:v>47.916203213725559</c:v>
                </c:pt>
                <c:pt idx="3">
                  <c:v>73.401894967741981</c:v>
                </c:pt>
                <c:pt idx="4">
                  <c:v>89.242160479378839</c:v>
                </c:pt>
                <c:pt idx="5">
                  <c:v>96.165010111388355</c:v>
                </c:pt>
                <c:pt idx="6">
                  <c:v>98.718545893824825</c:v>
                </c:pt>
                <c:pt idx="7">
                  <c:v>99.600243520143721</c:v>
                </c:pt>
                <c:pt idx="8">
                  <c:v>99.89766633732026</c:v>
                </c:pt>
                <c:pt idx="9">
                  <c:v>99.997203897620011</c:v>
                </c:pt>
                <c:pt idx="10">
                  <c:v>100.03042734518586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Data!$F$14:$F$25</c:f>
              <c:numCache>
                <c:formatCode>0.000</c:formatCode>
                <c:ptCount val="12"/>
                <c:pt idx="0">
                  <c:v>9.2881994685734739</c:v>
                </c:pt>
                <c:pt idx="1">
                  <c:v>23.48956703027719</c:v>
                </c:pt>
                <c:pt idx="2">
                  <c:v>47.921566940895467</c:v>
                </c:pt>
                <c:pt idx="3">
                  <c:v>73.389361994653953</c:v>
                </c:pt>
                <c:pt idx="4">
                  <c:v>89.21124777748129</c:v>
                </c:pt>
                <c:pt idx="5">
                  <c:v>96.124315442046054</c:v>
                </c:pt>
                <c:pt idx="6">
                  <c:v>98.673974147113</c:v>
                </c:pt>
                <c:pt idx="7">
                  <c:v>99.554299394269322</c:v>
                </c:pt>
                <c:pt idx="8">
                  <c:v>99.851255366300421</c:v>
                </c:pt>
                <c:pt idx="9">
                  <c:v>99.950636249462434</c:v>
                </c:pt>
                <c:pt idx="10">
                  <c:v>99.983807352579802</c:v>
                </c:pt>
                <c:pt idx="11">
                  <c:v>100.00040119323126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7025827425098827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Data!$E$27:$E$38</c:f>
              <c:numCache>
                <c:formatCode>General</c:formatCode>
                <c:ptCount val="12"/>
                <c:pt idx="0">
                  <c:v>8.9015622950957933</c:v>
                </c:pt>
                <c:pt idx="1">
                  <c:v>22.655181023029272</c:v>
                </c:pt>
                <c:pt idx="2">
                  <c:v>46.740649963042401</c:v>
                </c:pt>
                <c:pt idx="3">
                  <c:v>72.454027590350307</c:v>
                </c:pt>
                <c:pt idx="4">
                  <c:v>88.761966705600116</c:v>
                </c:pt>
                <c:pt idx="5">
                  <c:v>95.971879990940693</c:v>
                </c:pt>
                <c:pt idx="6">
                  <c:v>98.644357028245253</c:v>
                </c:pt>
                <c:pt idx="7">
                  <c:v>99.568776742112803</c:v>
                </c:pt>
                <c:pt idx="8">
                  <c:v>99.880803253519986</c:v>
                </c:pt>
                <c:pt idx="9">
                  <c:v>99.985249880113471</c:v>
                </c:pt>
                <c:pt idx="10">
                  <c:v>100.02011428887087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Data!$F$27:$F$38</c:f>
              <c:numCache>
                <c:formatCode>0.000</c:formatCode>
                <c:ptCount val="12"/>
                <c:pt idx="0">
                  <c:v>8.9072158180451382</c:v>
                </c:pt>
                <c:pt idx="1">
                  <c:v>22.666100376884469</c:v>
                </c:pt>
                <c:pt idx="2">
                  <c:v>46.750684131073776</c:v>
                </c:pt>
                <c:pt idx="3">
                  <c:v>72.448953882340888</c:v>
                </c:pt>
                <c:pt idx="4">
                  <c:v>88.739727551048674</c:v>
                </c:pt>
                <c:pt idx="5">
                  <c:v>95.940170275835357</c:v>
                </c:pt>
                <c:pt idx="6">
                  <c:v>98.608843151611325</c:v>
                </c:pt>
                <c:pt idx="7">
                  <c:v>99.531909968750782</c:v>
                </c:pt>
                <c:pt idx="8">
                  <c:v>99.843475528822651</c:v>
                </c:pt>
                <c:pt idx="9">
                  <c:v>99.947767373596903</c:v>
                </c:pt>
                <c:pt idx="10">
                  <c:v>99.982580061882189</c:v>
                </c:pt>
                <c:pt idx="11">
                  <c:v>99.999995559287797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818358545430789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Data!$E$40:$E$51</c:f>
              <c:numCache>
                <c:formatCode>General</c:formatCode>
                <c:ptCount val="12"/>
                <c:pt idx="0">
                  <c:v>7.9419619609979097</c:v>
                </c:pt>
                <c:pt idx="1">
                  <c:v>20.544060245864809</c:v>
                </c:pt>
                <c:pt idx="2">
                  <c:v>43.635756804611404</c:v>
                </c:pt>
                <c:pt idx="3">
                  <c:v>69.853407454291897</c:v>
                </c:pt>
                <c:pt idx="4">
                  <c:v>87.408564372164534</c:v>
                </c:pt>
                <c:pt idx="5">
                  <c:v>95.41971606083051</c:v>
                </c:pt>
                <c:pt idx="6">
                  <c:v>98.430056761148464</c:v>
                </c:pt>
                <c:pt idx="7">
                  <c:v>99.476600554117439</c:v>
                </c:pt>
                <c:pt idx="8">
                  <c:v>99.830463156111165</c:v>
                </c:pt>
                <c:pt idx="9">
                  <c:v>99.948983328477482</c:v>
                </c:pt>
                <c:pt idx="10">
                  <c:v>99.988553269080498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Data!$F$40:$F$51</c:f>
              <c:numCache>
                <c:formatCode>0.000</c:formatCode>
                <c:ptCount val="12"/>
                <c:pt idx="0">
                  <c:v>7.9493688519802248</c:v>
                </c:pt>
                <c:pt idx="1">
                  <c:v>20.560348999147934</c:v>
                </c:pt>
                <c:pt idx="2">
                  <c:v>43.659217764942973</c:v>
                </c:pt>
                <c:pt idx="3">
                  <c:v>69.87078745839176</c:v>
                </c:pt>
                <c:pt idx="4">
                  <c:v>87.413413311642074</c:v>
                </c:pt>
                <c:pt idx="5">
                  <c:v>95.416581351157674</c:v>
                </c:pt>
                <c:pt idx="6">
                  <c:v>98.423553439500367</c:v>
                </c:pt>
                <c:pt idx="7">
                  <c:v>99.468878854250747</c:v>
                </c:pt>
                <c:pt idx="8">
                  <c:v>99.822323968284806</c:v>
                </c:pt>
                <c:pt idx="9">
                  <c:v>99.940703685975436</c:v>
                </c:pt>
                <c:pt idx="10">
                  <c:v>99.98022666367541</c:v>
                </c:pt>
                <c:pt idx="11">
                  <c:v>100.00000000000001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195951906426631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Data!$E$53:$E$64</c:f>
              <c:numCache>
                <c:formatCode>General</c:formatCode>
                <c:ptCount val="12"/>
                <c:pt idx="0">
                  <c:v>6.8105218443848292</c:v>
                </c:pt>
                <c:pt idx="1">
                  <c:v>17.975870151610128</c:v>
                </c:pt>
                <c:pt idx="2">
                  <c:v>39.63313772385289</c:v>
                </c:pt>
                <c:pt idx="3">
                  <c:v>66.274810505277003</c:v>
                </c:pt>
                <c:pt idx="4">
                  <c:v>85.490325734121569</c:v>
                </c:pt>
                <c:pt idx="5">
                  <c:v>94.669941294282481</c:v>
                </c:pt>
                <c:pt idx="6">
                  <c:v>98.190814498237643</c:v>
                </c:pt>
                <c:pt idx="7">
                  <c:v>99.424290611566789</c:v>
                </c:pt>
                <c:pt idx="8">
                  <c:v>99.84247578425564</c:v>
                </c:pt>
                <c:pt idx="9">
                  <c:v>99.982666324531195</c:v>
                </c:pt>
                <c:pt idx="10">
                  <c:v>100.02948544925275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Data!$F$53:$F$64</c:f>
              <c:numCache>
                <c:formatCode>0.000</c:formatCode>
                <c:ptCount val="12"/>
                <c:pt idx="0">
                  <c:v>6.8138424820056533</c:v>
                </c:pt>
                <c:pt idx="1">
                  <c:v>17.982445594083</c:v>
                </c:pt>
                <c:pt idx="2">
                  <c:v>39.638265378851358</c:v>
                </c:pt>
                <c:pt idx="3">
                  <c:v>66.264153647736066</c:v>
                </c:pt>
                <c:pt idx="4">
                  <c:v>85.458699931081767</c:v>
                </c:pt>
                <c:pt idx="5">
                  <c:v>94.625443806610505</c:v>
                </c:pt>
                <c:pt idx="6">
                  <c:v>98.140886230181735</c:v>
                </c:pt>
                <c:pt idx="7">
                  <c:v>99.372394687576772</c:v>
                </c:pt>
                <c:pt idx="8">
                  <c:v>99.789905085931096</c:v>
                </c:pt>
                <c:pt idx="9">
                  <c:v>99.929868546787333</c:v>
                </c:pt>
                <c:pt idx="10">
                  <c:v>99.976611736842585</c:v>
                </c:pt>
                <c:pt idx="11">
                  <c:v>99.999999999999986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610889665762729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Data!$E$66:$E$77</c:f>
              <c:numCache>
                <c:formatCode>General</c:formatCode>
                <c:ptCount val="12"/>
                <c:pt idx="0">
                  <c:v>5.5365512182200414</c:v>
                </c:pt>
                <c:pt idx="1">
                  <c:v>14.932564548060196</c:v>
                </c:pt>
                <c:pt idx="2">
                  <c:v>34.396979751294118</c:v>
                </c:pt>
                <c:pt idx="3">
                  <c:v>60.954164444578943</c:v>
                </c:pt>
                <c:pt idx="4">
                  <c:v>82.308468868173591</c:v>
                </c:pt>
                <c:pt idx="5">
                  <c:v>93.307174166233196</c:v>
                </c:pt>
                <c:pt idx="6">
                  <c:v>97.682851564095543</c:v>
                </c:pt>
                <c:pt idx="7">
                  <c:v>99.237821221832718</c:v>
                </c:pt>
                <c:pt idx="8">
                  <c:v>99.767665345422103</c:v>
                </c:pt>
                <c:pt idx="9">
                  <c:v>99.945592543134694</c:v>
                </c:pt>
                <c:pt idx="10">
                  <c:v>100.00504867357368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Data!$F$66:$F$77</c:f>
              <c:numCache>
                <c:formatCode>0.000</c:formatCode>
                <c:ptCount val="12"/>
                <c:pt idx="0">
                  <c:v>5.5401736834404307</c:v>
                </c:pt>
                <c:pt idx="1">
                  <c:v>14.940847846179079</c:v>
                </c:pt>
                <c:pt idx="2">
                  <c:v>34.408951767432896</c:v>
                </c:pt>
                <c:pt idx="3">
                  <c:v>60.958246285834711</c:v>
                </c:pt>
                <c:pt idx="4">
                  <c:v>82.295389932710322</c:v>
                </c:pt>
                <c:pt idx="5">
                  <c:v>93.281430842606156</c:v>
                </c:pt>
                <c:pt idx="6">
                  <c:v>97.651329861771856</c:v>
                </c:pt>
                <c:pt idx="7">
                  <c:v>99.204143128409697</c:v>
                </c:pt>
                <c:pt idx="8">
                  <c:v>99.733240067676604</c:v>
                </c:pt>
                <c:pt idx="9">
                  <c:v>99.910914934922133</c:v>
                </c:pt>
                <c:pt idx="10">
                  <c:v>99.970286587573796</c:v>
                </c:pt>
                <c:pt idx="1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988483026758593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Data!$E$79:$E$89</c:f>
              <c:numCache>
                <c:formatCode>General</c:formatCode>
                <c:ptCount val="11"/>
                <c:pt idx="0">
                  <c:v>4.3333242555588214</c:v>
                </c:pt>
                <c:pt idx="1">
                  <c:v>11.818056495089863</c:v>
                </c:pt>
                <c:pt idx="2">
                  <c:v>28.058015880511693</c:v>
                </c:pt>
                <c:pt idx="3">
                  <c:v>52.726070061327377</c:v>
                </c:pt>
                <c:pt idx="4">
                  <c:v>76.127353215415198</c:v>
                </c:pt>
                <c:pt idx="5">
                  <c:v>90.280620774331609</c:v>
                </c:pt>
                <c:pt idx="6">
                  <c:v>96.50812069995996</c:v>
                </c:pt>
                <c:pt idx="7">
                  <c:v>98.824140513741895</c:v>
                </c:pt>
                <c:pt idx="8">
                  <c:v>99.626931109382497</c:v>
                </c:pt>
                <c:pt idx="9">
                  <c:v>99.898128120473686</c:v>
                </c:pt>
                <c:pt idx="10">
                  <c:v>99.988934213317393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Data!$F$79:$F$89</c:f>
              <c:numCache>
                <c:formatCode>0.000</c:formatCode>
                <c:ptCount val="11"/>
                <c:pt idx="0">
                  <c:v>4.3359683140687739</c:v>
                </c:pt>
                <c:pt idx="1">
                  <c:v>11.824283010644256</c:v>
                </c:pt>
                <c:pt idx="2">
                  <c:v>28.068011709582198</c:v>
                </c:pt>
                <c:pt idx="3">
                  <c:v>52.732079673827485</c:v>
                </c:pt>
                <c:pt idx="4">
                  <c:v>76.119072383353668</c:v>
                </c:pt>
                <c:pt idx="5">
                  <c:v>90.258423119931237</c:v>
                </c:pt>
                <c:pt idx="6">
                  <c:v>96.478391156141669</c:v>
                </c:pt>
                <c:pt idx="7">
                  <c:v>98.791369865185672</c:v>
                </c:pt>
                <c:pt idx="8">
                  <c:v>99.593074589672028</c:v>
                </c:pt>
                <c:pt idx="9">
                  <c:v>99.863901015747388</c:v>
                </c:pt>
                <c:pt idx="10">
                  <c:v>99.954582597177151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  <c:min val="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001464848649027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Data!$E$14:$E$25</c:f>
              <c:numCache>
                <c:formatCode>General</c:formatCode>
                <c:ptCount val="12"/>
                <c:pt idx="0">
                  <c:v>9.2831727731224412</c:v>
                </c:pt>
                <c:pt idx="1">
                  <c:v>23.48056431735375</c:v>
                </c:pt>
                <c:pt idx="2">
                  <c:v>47.916203213725559</c:v>
                </c:pt>
                <c:pt idx="3">
                  <c:v>73.401894967741981</c:v>
                </c:pt>
                <c:pt idx="4">
                  <c:v>89.242160479378839</c:v>
                </c:pt>
                <c:pt idx="5">
                  <c:v>96.165010111388355</c:v>
                </c:pt>
                <c:pt idx="6">
                  <c:v>98.718545893824825</c:v>
                </c:pt>
                <c:pt idx="7">
                  <c:v>99.600243520143721</c:v>
                </c:pt>
                <c:pt idx="8">
                  <c:v>99.89766633732026</c:v>
                </c:pt>
                <c:pt idx="9">
                  <c:v>99.997203897620011</c:v>
                </c:pt>
                <c:pt idx="10">
                  <c:v>100.03042734518586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BE-9D41-9FF7-58B917D35546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Data!$F$14:$F$25</c:f>
              <c:numCache>
                <c:formatCode>0.000</c:formatCode>
                <c:ptCount val="12"/>
                <c:pt idx="0">
                  <c:v>9.2881994685734739</c:v>
                </c:pt>
                <c:pt idx="1">
                  <c:v>23.48956703027719</c:v>
                </c:pt>
                <c:pt idx="2">
                  <c:v>47.921566940895467</c:v>
                </c:pt>
                <c:pt idx="3">
                  <c:v>73.389361994653953</c:v>
                </c:pt>
                <c:pt idx="4">
                  <c:v>89.21124777748129</c:v>
                </c:pt>
                <c:pt idx="5">
                  <c:v>96.124315442046054</c:v>
                </c:pt>
                <c:pt idx="6">
                  <c:v>98.673974147113</c:v>
                </c:pt>
                <c:pt idx="7">
                  <c:v>99.554299394269322</c:v>
                </c:pt>
                <c:pt idx="8">
                  <c:v>99.851255366300421</c:v>
                </c:pt>
                <c:pt idx="9">
                  <c:v>99.950636249462434</c:v>
                </c:pt>
                <c:pt idx="10">
                  <c:v>99.983807352579802</c:v>
                </c:pt>
                <c:pt idx="11">
                  <c:v>100.00040119323126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BE-9D41-9FF7-58B917D35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29330028135733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Data!$E$27:$E$38</c:f>
              <c:numCache>
                <c:formatCode>General</c:formatCode>
                <c:ptCount val="12"/>
                <c:pt idx="0">
                  <c:v>8.9015622950957933</c:v>
                </c:pt>
                <c:pt idx="1">
                  <c:v>22.655181023029272</c:v>
                </c:pt>
                <c:pt idx="2">
                  <c:v>46.740649963042401</c:v>
                </c:pt>
                <c:pt idx="3">
                  <c:v>72.454027590350307</c:v>
                </c:pt>
                <c:pt idx="4">
                  <c:v>88.761966705600116</c:v>
                </c:pt>
                <c:pt idx="5">
                  <c:v>95.971879990940693</c:v>
                </c:pt>
                <c:pt idx="6">
                  <c:v>98.644357028245253</c:v>
                </c:pt>
                <c:pt idx="7">
                  <c:v>99.568776742112803</c:v>
                </c:pt>
                <c:pt idx="8">
                  <c:v>99.880803253519986</c:v>
                </c:pt>
                <c:pt idx="9">
                  <c:v>99.985249880113471</c:v>
                </c:pt>
                <c:pt idx="10">
                  <c:v>100.02011428887087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DF-9C4E-A754-5ABB70070C3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Data!$F$27:$F$38</c:f>
              <c:numCache>
                <c:formatCode>0.000</c:formatCode>
                <c:ptCount val="12"/>
                <c:pt idx="0">
                  <c:v>8.9072158180451382</c:v>
                </c:pt>
                <c:pt idx="1">
                  <c:v>22.666100376884469</c:v>
                </c:pt>
                <c:pt idx="2">
                  <c:v>46.750684131073776</c:v>
                </c:pt>
                <c:pt idx="3">
                  <c:v>72.448953882340888</c:v>
                </c:pt>
                <c:pt idx="4">
                  <c:v>88.739727551048674</c:v>
                </c:pt>
                <c:pt idx="5">
                  <c:v>95.940170275835357</c:v>
                </c:pt>
                <c:pt idx="6">
                  <c:v>98.608843151611325</c:v>
                </c:pt>
                <c:pt idx="7">
                  <c:v>99.531909968750782</c:v>
                </c:pt>
                <c:pt idx="8">
                  <c:v>99.843475528822651</c:v>
                </c:pt>
                <c:pt idx="9">
                  <c:v>99.947767373596903</c:v>
                </c:pt>
                <c:pt idx="10">
                  <c:v>99.982580061882189</c:v>
                </c:pt>
                <c:pt idx="11">
                  <c:v>99.999995559287797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DF-9C4E-A754-5ABB70070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554370932699513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Data!$E$40:$E$51</c:f>
              <c:numCache>
                <c:formatCode>General</c:formatCode>
                <c:ptCount val="12"/>
                <c:pt idx="0">
                  <c:v>7.9419619609979097</c:v>
                </c:pt>
                <c:pt idx="1">
                  <c:v>20.544060245864809</c:v>
                </c:pt>
                <c:pt idx="2">
                  <c:v>43.635756804611404</c:v>
                </c:pt>
                <c:pt idx="3">
                  <c:v>69.853407454291897</c:v>
                </c:pt>
                <c:pt idx="4">
                  <c:v>87.408564372164534</c:v>
                </c:pt>
                <c:pt idx="5">
                  <c:v>95.41971606083051</c:v>
                </c:pt>
                <c:pt idx="6">
                  <c:v>98.430056761148464</c:v>
                </c:pt>
                <c:pt idx="7">
                  <c:v>99.476600554117439</c:v>
                </c:pt>
                <c:pt idx="8">
                  <c:v>99.830463156111165</c:v>
                </c:pt>
                <c:pt idx="9">
                  <c:v>99.948983328477482</c:v>
                </c:pt>
                <c:pt idx="10">
                  <c:v>99.988553269080498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1-6345-B2F1-FCCD1BD74C4F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Data!$F$40:$F$51</c:f>
              <c:numCache>
                <c:formatCode>0.000</c:formatCode>
                <c:ptCount val="12"/>
                <c:pt idx="0">
                  <c:v>7.9493688519802248</c:v>
                </c:pt>
                <c:pt idx="1">
                  <c:v>20.560348999147934</c:v>
                </c:pt>
                <c:pt idx="2">
                  <c:v>43.659217764942973</c:v>
                </c:pt>
                <c:pt idx="3">
                  <c:v>69.87078745839176</c:v>
                </c:pt>
                <c:pt idx="4">
                  <c:v>87.413413311642074</c:v>
                </c:pt>
                <c:pt idx="5">
                  <c:v>95.416581351157674</c:v>
                </c:pt>
                <c:pt idx="6">
                  <c:v>98.423553439500367</c:v>
                </c:pt>
                <c:pt idx="7">
                  <c:v>99.468878854250747</c:v>
                </c:pt>
                <c:pt idx="8">
                  <c:v>99.822323968284806</c:v>
                </c:pt>
                <c:pt idx="9">
                  <c:v>99.940703685975436</c:v>
                </c:pt>
                <c:pt idx="10">
                  <c:v>99.98022666367541</c:v>
                </c:pt>
                <c:pt idx="11">
                  <c:v>100.00000000000001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A1-6345-B2F1-FCCD1BD74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955289909588444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Data!$E$53:$E$64</c:f>
              <c:numCache>
                <c:formatCode>General</c:formatCode>
                <c:ptCount val="12"/>
                <c:pt idx="0">
                  <c:v>6.8105218443848292</c:v>
                </c:pt>
                <c:pt idx="1">
                  <c:v>17.975870151610128</c:v>
                </c:pt>
                <c:pt idx="2">
                  <c:v>39.63313772385289</c:v>
                </c:pt>
                <c:pt idx="3">
                  <c:v>66.274810505277003</c:v>
                </c:pt>
                <c:pt idx="4">
                  <c:v>85.490325734121569</c:v>
                </c:pt>
                <c:pt idx="5">
                  <c:v>94.669941294282481</c:v>
                </c:pt>
                <c:pt idx="6">
                  <c:v>98.190814498237643</c:v>
                </c:pt>
                <c:pt idx="7">
                  <c:v>99.424290611566789</c:v>
                </c:pt>
                <c:pt idx="8">
                  <c:v>99.84247578425564</c:v>
                </c:pt>
                <c:pt idx="9">
                  <c:v>99.982666324531195</c:v>
                </c:pt>
                <c:pt idx="10">
                  <c:v>100.02948544925275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05-5546-9204-31CB6F7C5376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Data!$F$53:$F$64</c:f>
              <c:numCache>
                <c:formatCode>0.000</c:formatCode>
                <c:ptCount val="12"/>
                <c:pt idx="0">
                  <c:v>6.8138424820056533</c:v>
                </c:pt>
                <c:pt idx="1">
                  <c:v>17.982445594083</c:v>
                </c:pt>
                <c:pt idx="2">
                  <c:v>39.638265378851358</c:v>
                </c:pt>
                <c:pt idx="3">
                  <c:v>66.264153647736066</c:v>
                </c:pt>
                <c:pt idx="4">
                  <c:v>85.458699931081767</c:v>
                </c:pt>
                <c:pt idx="5">
                  <c:v>94.625443806610505</c:v>
                </c:pt>
                <c:pt idx="6">
                  <c:v>98.140886230181735</c:v>
                </c:pt>
                <c:pt idx="7">
                  <c:v>99.372394687576772</c:v>
                </c:pt>
                <c:pt idx="8">
                  <c:v>99.789905085931096</c:v>
                </c:pt>
                <c:pt idx="9">
                  <c:v>99.929868546787333</c:v>
                </c:pt>
                <c:pt idx="10">
                  <c:v>99.976611736842585</c:v>
                </c:pt>
                <c:pt idx="11">
                  <c:v>99.999999999999986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05-5546-9204-31CB6F7C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65003457553601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Data!$E$66:$E$77</c:f>
              <c:numCache>
                <c:formatCode>General</c:formatCode>
                <c:ptCount val="12"/>
                <c:pt idx="0">
                  <c:v>5.5365512182200414</c:v>
                </c:pt>
                <c:pt idx="1">
                  <c:v>14.932564548060196</c:v>
                </c:pt>
                <c:pt idx="2">
                  <c:v>34.396979751294118</c:v>
                </c:pt>
                <c:pt idx="3">
                  <c:v>60.954164444578943</c:v>
                </c:pt>
                <c:pt idx="4">
                  <c:v>82.308468868173591</c:v>
                </c:pt>
                <c:pt idx="5">
                  <c:v>93.307174166233196</c:v>
                </c:pt>
                <c:pt idx="6">
                  <c:v>97.682851564095543</c:v>
                </c:pt>
                <c:pt idx="7">
                  <c:v>99.237821221832718</c:v>
                </c:pt>
                <c:pt idx="8">
                  <c:v>99.767665345422103</c:v>
                </c:pt>
                <c:pt idx="9">
                  <c:v>99.945592543134694</c:v>
                </c:pt>
                <c:pt idx="10">
                  <c:v>100.00504867357368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2-6C44-A73C-77E15CE586CD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Data!$F$66:$F$77</c:f>
              <c:numCache>
                <c:formatCode>0.000</c:formatCode>
                <c:ptCount val="12"/>
                <c:pt idx="0">
                  <c:v>5.5401736834404307</c:v>
                </c:pt>
                <c:pt idx="1">
                  <c:v>14.940847846179079</c:v>
                </c:pt>
                <c:pt idx="2">
                  <c:v>34.408951767432896</c:v>
                </c:pt>
                <c:pt idx="3">
                  <c:v>60.958246285834711</c:v>
                </c:pt>
                <c:pt idx="4">
                  <c:v>82.295389932710322</c:v>
                </c:pt>
                <c:pt idx="5">
                  <c:v>93.281430842606156</c:v>
                </c:pt>
                <c:pt idx="6">
                  <c:v>97.651329861771856</c:v>
                </c:pt>
                <c:pt idx="7">
                  <c:v>99.204143128409697</c:v>
                </c:pt>
                <c:pt idx="8">
                  <c:v>99.733240067676604</c:v>
                </c:pt>
                <c:pt idx="9">
                  <c:v>99.910914934922133</c:v>
                </c:pt>
                <c:pt idx="10">
                  <c:v>99.970286587573796</c:v>
                </c:pt>
                <c:pt idx="1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F2-6C44-A73C-77E15CE58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642891911623122"/>
          <c:y val="0.40646895896806867"/>
          <c:w val="0.23908006265500864"/>
          <c:h val="0.177011830807581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207167675420163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Data!$E$79:$E$89</c:f>
              <c:numCache>
                <c:formatCode>General</c:formatCode>
                <c:ptCount val="11"/>
                <c:pt idx="0">
                  <c:v>4.3333242555588214</c:v>
                </c:pt>
                <c:pt idx="1">
                  <c:v>11.818056495089863</c:v>
                </c:pt>
                <c:pt idx="2">
                  <c:v>28.058015880511693</c:v>
                </c:pt>
                <c:pt idx="3">
                  <c:v>52.726070061327377</c:v>
                </c:pt>
                <c:pt idx="4">
                  <c:v>76.127353215415198</c:v>
                </c:pt>
                <c:pt idx="5">
                  <c:v>90.280620774331609</c:v>
                </c:pt>
                <c:pt idx="6">
                  <c:v>96.50812069995996</c:v>
                </c:pt>
                <c:pt idx="7">
                  <c:v>98.824140513741895</c:v>
                </c:pt>
                <c:pt idx="8">
                  <c:v>99.626931109382497</c:v>
                </c:pt>
                <c:pt idx="9">
                  <c:v>99.898128120473686</c:v>
                </c:pt>
                <c:pt idx="10">
                  <c:v>99.988934213317393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5-E543-A3F3-D2C7D44280B2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500</c:v>
                </c:pt>
                <c:pt idx="1">
                  <c:v>166.66666666666666</c:v>
                </c:pt>
                <c:pt idx="2">
                  <c:v>55.55555555555555</c:v>
                </c:pt>
                <c:pt idx="3">
                  <c:v>18.518518518518515</c:v>
                </c:pt>
                <c:pt idx="4">
                  <c:v>6.1728395061728385</c:v>
                </c:pt>
                <c:pt idx="5">
                  <c:v>2.0576131687242794</c:v>
                </c:pt>
                <c:pt idx="6">
                  <c:v>0.68587105624142641</c:v>
                </c:pt>
                <c:pt idx="7">
                  <c:v>0.22862368541380881</c:v>
                </c:pt>
                <c:pt idx="8">
                  <c:v>7.6207895137936271E-2</c:v>
                </c:pt>
                <c:pt idx="9">
                  <c:v>2.5402631712645424E-2</c:v>
                </c:pt>
                <c:pt idx="10">
                  <c:v>8.4675439042151412E-3</c:v>
                </c:pt>
              </c:numCache>
            </c:numRef>
          </c:xVal>
          <c:yVal>
            <c:numRef>
              <c:f>Data!$F$79:$F$89</c:f>
              <c:numCache>
                <c:formatCode>0.000</c:formatCode>
                <c:ptCount val="11"/>
                <c:pt idx="0">
                  <c:v>4.3359683140687739</c:v>
                </c:pt>
                <c:pt idx="1">
                  <c:v>11.824283010644256</c:v>
                </c:pt>
                <c:pt idx="2">
                  <c:v>28.068011709582198</c:v>
                </c:pt>
                <c:pt idx="3">
                  <c:v>52.732079673827485</c:v>
                </c:pt>
                <c:pt idx="4">
                  <c:v>76.119072383353668</c:v>
                </c:pt>
                <c:pt idx="5">
                  <c:v>90.258423119931237</c:v>
                </c:pt>
                <c:pt idx="6">
                  <c:v>96.478391156141669</c:v>
                </c:pt>
                <c:pt idx="7">
                  <c:v>98.791369865185672</c:v>
                </c:pt>
                <c:pt idx="8">
                  <c:v>99.593074589672028</c:v>
                </c:pt>
                <c:pt idx="9">
                  <c:v>99.863901015747388</c:v>
                </c:pt>
                <c:pt idx="10">
                  <c:v>99.954582597177151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5-E543-A3F3-D2C7D4428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101600</xdr:colOff>
      <xdr:row>13</xdr:row>
      <xdr:rowOff>0</xdr:rowOff>
    </xdr:from>
    <xdr:to>
      <xdr:col>14</xdr:col>
      <xdr:colOff>101600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1488E3-8A5E-4D47-BF02-1D207665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101600</xdr:colOff>
      <xdr:row>25</xdr:row>
      <xdr:rowOff>190500</xdr:rowOff>
    </xdr:from>
    <xdr:to>
      <xdr:col>14</xdr:col>
      <xdr:colOff>101600</xdr:colOff>
      <xdr:row>38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C29B90-9E36-7ABC-6050-02616D003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101600</xdr:colOff>
      <xdr:row>39</xdr:row>
      <xdr:rowOff>0</xdr:rowOff>
    </xdr:from>
    <xdr:to>
      <xdr:col>14</xdr:col>
      <xdr:colOff>101600</xdr:colOff>
      <xdr:row>51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1B6FEC-5087-4053-730C-655983B66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139700</xdr:colOff>
      <xdr:row>52</xdr:row>
      <xdr:rowOff>0</xdr:rowOff>
    </xdr:from>
    <xdr:to>
      <xdr:col>14</xdr:col>
      <xdr:colOff>139700</xdr:colOff>
      <xdr:row>64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86494C-01A1-BD7D-C410-125F6139A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127000</xdr:colOff>
      <xdr:row>65</xdr:row>
      <xdr:rowOff>25400</xdr:rowOff>
    </xdr:from>
    <xdr:to>
      <xdr:col>14</xdr:col>
      <xdr:colOff>127000</xdr:colOff>
      <xdr:row>77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81F63E-33B7-3168-AAF6-D8F95BF68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139700</xdr:colOff>
      <xdr:row>78</xdr:row>
      <xdr:rowOff>0</xdr:rowOff>
    </xdr:from>
    <xdr:to>
      <xdr:col>14</xdr:col>
      <xdr:colOff>139700</xdr:colOff>
      <xdr:row>90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1BDE48-DD34-3607-4532-B0E93B520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787400</xdr:colOff>
      <xdr:row>20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F77CAB-40E2-DE4D-9D6A-3271FDB213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8</xdr:row>
      <xdr:rowOff>0</xdr:rowOff>
    </xdr:from>
    <xdr:to>
      <xdr:col>9</xdr:col>
      <xdr:colOff>76200</xdr:colOff>
      <xdr:row>20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A5097A-F24E-B44B-BEBF-827D101F5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24</xdr:row>
      <xdr:rowOff>0</xdr:rowOff>
    </xdr:from>
    <xdr:to>
      <xdr:col>3</xdr:col>
      <xdr:colOff>787400</xdr:colOff>
      <xdr:row>36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B141A0-4EAF-AC4C-BB8A-A942E7127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24</xdr:row>
      <xdr:rowOff>0</xdr:rowOff>
    </xdr:from>
    <xdr:to>
      <xdr:col>9</xdr:col>
      <xdr:colOff>63500</xdr:colOff>
      <xdr:row>36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53E9FD4-9E62-AD41-8B04-D292857D2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3</xdr:col>
      <xdr:colOff>762000</xdr:colOff>
      <xdr:row>52</xdr:row>
      <xdr:rowOff>88900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2DC5F8-12A0-074C-B564-46A176379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40</xdr:row>
      <xdr:rowOff>0</xdr:rowOff>
    </xdr:from>
    <xdr:to>
      <xdr:col>9</xdr:col>
      <xdr:colOff>0</xdr:colOff>
      <xdr:row>52</xdr:row>
      <xdr:rowOff>88900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1A0B00-EE72-4443-A051-8FCF784BA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63-8C22-E442-AE2F-760DEB35657C}">
  <sheetPr codeName="Sheet1"/>
  <dimension ref="A1:C38"/>
  <sheetViews>
    <sheetView showGridLines="0" zoomScaleNormal="100" workbookViewId="0">
      <selection sqref="A1:C1"/>
    </sheetView>
  </sheetViews>
  <sheetFormatPr baseColWidth="10" defaultColWidth="11.140625" defaultRowHeight="16"/>
  <cols>
    <col min="1" max="1" width="38.5703125" customWidth="1"/>
    <col min="3" max="3" width="67.7109375" customWidth="1"/>
  </cols>
  <sheetData>
    <row r="1" spans="1:3">
      <c r="A1" s="61" t="s">
        <v>23</v>
      </c>
      <c r="B1" s="61"/>
      <c r="C1" s="61"/>
    </row>
    <row r="2" spans="1:3">
      <c r="A2" s="37" t="s">
        <v>41</v>
      </c>
      <c r="B2" s="8" t="s">
        <v>24</v>
      </c>
    </row>
    <row r="3" spans="1:3">
      <c r="A3" s="37" t="s">
        <v>22</v>
      </c>
    </row>
    <row r="5" spans="1:3">
      <c r="A5" s="38" t="s">
        <v>25</v>
      </c>
    </row>
    <row r="6" spans="1:3">
      <c r="A6" s="37" t="s">
        <v>39</v>
      </c>
    </row>
    <row r="7" spans="1:3">
      <c r="A7" s="37"/>
    </row>
    <row r="8" spans="1:3">
      <c r="A8" s="37" t="s">
        <v>40</v>
      </c>
    </row>
    <row r="9" spans="1:3">
      <c r="A9" s="37" t="s">
        <v>36</v>
      </c>
    </row>
    <row r="10" spans="1:3">
      <c r="A10" s="37" t="s">
        <v>45</v>
      </c>
    </row>
    <row r="11" spans="1:3">
      <c r="A11" s="37" t="s">
        <v>46</v>
      </c>
    </row>
    <row r="13" spans="1:3">
      <c r="A13" s="37" t="s">
        <v>26</v>
      </c>
    </row>
    <row r="14" spans="1:3">
      <c r="A14" s="37" t="s">
        <v>27</v>
      </c>
    </row>
    <row r="15" spans="1:3">
      <c r="A15" s="37" t="s">
        <v>28</v>
      </c>
    </row>
    <row r="16" spans="1:3">
      <c r="A16" s="37" t="s">
        <v>47</v>
      </c>
    </row>
    <row r="17" spans="1:1">
      <c r="A17" s="37"/>
    </row>
    <row r="18" spans="1:1">
      <c r="A18" s="37" t="s">
        <v>29</v>
      </c>
    </row>
    <row r="19" spans="1:1">
      <c r="A19" s="37" t="s">
        <v>48</v>
      </c>
    </row>
    <row r="20" spans="1:1">
      <c r="A20" s="37" t="s">
        <v>68</v>
      </c>
    </row>
    <row r="21" spans="1:1">
      <c r="A21" s="37" t="s">
        <v>30</v>
      </c>
    </row>
    <row r="22" spans="1:1">
      <c r="A22" s="37"/>
    </row>
    <row r="23" spans="1:1" ht="18">
      <c r="A23" s="37" t="s">
        <v>49</v>
      </c>
    </row>
    <row r="24" spans="1:1" ht="18" customHeight="1">
      <c r="A24" s="37" t="s">
        <v>50</v>
      </c>
    </row>
    <row r="25" spans="1:1" ht="18">
      <c r="A25" s="37" t="s">
        <v>51</v>
      </c>
    </row>
    <row r="26" spans="1:1" ht="18">
      <c r="A26" s="37" t="s">
        <v>52</v>
      </c>
    </row>
    <row r="27" spans="1:1">
      <c r="A27" s="37"/>
    </row>
    <row r="28" spans="1:1">
      <c r="A28" s="37" t="s">
        <v>44</v>
      </c>
    </row>
    <row r="29" spans="1:1">
      <c r="A29" s="37" t="s">
        <v>53</v>
      </c>
    </row>
    <row r="30" spans="1:1" ht="18">
      <c r="A30" s="37" t="s">
        <v>54</v>
      </c>
    </row>
    <row r="31" spans="1:1" ht="18">
      <c r="A31" s="37" t="s">
        <v>55</v>
      </c>
    </row>
    <row r="32" spans="1:1">
      <c r="A32" s="37"/>
    </row>
    <row r="33" spans="1:1">
      <c r="A33" s="37" t="s">
        <v>37</v>
      </c>
    </row>
    <row r="34" spans="1:1">
      <c r="A34" s="37" t="s">
        <v>38</v>
      </c>
    </row>
    <row r="35" spans="1:1" ht="18">
      <c r="A35" s="37" t="s">
        <v>56</v>
      </c>
    </row>
    <row r="36" spans="1:1">
      <c r="A36" s="37"/>
    </row>
    <row r="37" spans="1:1">
      <c r="A37" s="37"/>
    </row>
    <row r="38" spans="1:1">
      <c r="A38" s="37"/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1E1E-5E7B-DF4D-BD41-6BFA5DF32778}">
  <sheetPr codeName="Sheet2"/>
  <dimension ref="A1:U90"/>
  <sheetViews>
    <sheetView tabSelected="1" workbookViewId="0">
      <selection activeCell="B1" sqref="B1"/>
    </sheetView>
  </sheetViews>
  <sheetFormatPr baseColWidth="10" defaultColWidth="11.140625" defaultRowHeight="16"/>
  <cols>
    <col min="1" max="1" width="20.28515625" bestFit="1" customWidth="1"/>
    <col min="2" max="2" width="13.42578125" customWidth="1"/>
    <col min="3" max="3" width="11.28515625" customWidth="1"/>
    <col min="4" max="4" width="11" customWidth="1"/>
    <col min="5" max="5" width="12.28515625" customWidth="1"/>
    <col min="6" max="6" width="13.5703125" customWidth="1"/>
    <col min="7" max="7" width="15.28515625" bestFit="1" customWidth="1"/>
    <col min="8" max="8" width="12.140625" bestFit="1" customWidth="1"/>
    <col min="10" max="10" width="13.140625" customWidth="1"/>
  </cols>
  <sheetData>
    <row r="1" spans="1:21" ht="18">
      <c r="A1" s="2" t="s">
        <v>0</v>
      </c>
      <c r="B1" s="3" t="s">
        <v>42</v>
      </c>
      <c r="F1" s="54" t="s">
        <v>57</v>
      </c>
      <c r="G1" s="5">
        <v>1.0011128947020116</v>
      </c>
      <c r="I1" s="37"/>
    </row>
    <row r="2" spans="1:21" ht="18">
      <c r="A2" s="2" t="s">
        <v>1</v>
      </c>
      <c r="B2" s="23" t="s">
        <v>43</v>
      </c>
      <c r="F2" s="54" t="s">
        <v>58</v>
      </c>
      <c r="G2" s="5">
        <v>0.10000189671049739</v>
      </c>
      <c r="I2" s="37"/>
    </row>
    <row r="3" spans="1:21" ht="18">
      <c r="F3" s="54" t="s">
        <v>59</v>
      </c>
      <c r="G3" s="5">
        <v>4.9987446928743719E-2</v>
      </c>
    </row>
    <row r="4" spans="1:21" ht="18">
      <c r="A4" s="4" t="s">
        <v>3</v>
      </c>
      <c r="B4" s="5">
        <v>50</v>
      </c>
      <c r="F4" s="54" t="s">
        <v>60</v>
      </c>
      <c r="G4" s="25">
        <f>G3/(1 + (G1/G2))</f>
        <v>4.539798705434874E-3</v>
      </c>
    </row>
    <row r="5" spans="1:21">
      <c r="A5" s="4" t="s">
        <v>4</v>
      </c>
      <c r="B5" s="5">
        <v>0.05</v>
      </c>
      <c r="K5" s="31"/>
    </row>
    <row r="6" spans="1:21" ht="18">
      <c r="A6" s="4" t="s">
        <v>5</v>
      </c>
      <c r="B6" s="5">
        <v>10.3</v>
      </c>
      <c r="D6" s="62" t="s">
        <v>61</v>
      </c>
      <c r="E6" s="62"/>
    </row>
    <row r="7" spans="1:21" ht="18">
      <c r="A7" s="4" t="s">
        <v>6</v>
      </c>
      <c r="B7" s="5">
        <v>1</v>
      </c>
      <c r="D7" s="56" t="s">
        <v>62</v>
      </c>
      <c r="E7" s="59">
        <v>5.84</v>
      </c>
      <c r="F7" s="55"/>
    </row>
    <row r="8" spans="1:21">
      <c r="A8" s="4" t="s">
        <v>31</v>
      </c>
      <c r="B8" s="5">
        <v>190</v>
      </c>
      <c r="D8" s="56" t="s">
        <v>64</v>
      </c>
      <c r="E8" s="58">
        <v>139.09547097561099</v>
      </c>
    </row>
    <row r="9" spans="1:21">
      <c r="A9" s="4" t="s">
        <v>32</v>
      </c>
      <c r="B9" s="5">
        <v>200</v>
      </c>
      <c r="D9" s="56" t="s">
        <v>63</v>
      </c>
      <c r="E9" s="57">
        <f>(100/E8)*E7</f>
        <v>4.1985551068186728</v>
      </c>
    </row>
    <row r="10" spans="1:21" ht="18">
      <c r="A10" s="4" t="s">
        <v>33</v>
      </c>
      <c r="B10" s="39">
        <f>B8/B9</f>
        <v>0.95</v>
      </c>
      <c r="G10" s="7" t="s">
        <v>17</v>
      </c>
      <c r="H10" s="6" t="s">
        <v>18</v>
      </c>
      <c r="I10" s="7" t="s">
        <v>15</v>
      </c>
      <c r="J10" s="7" t="s">
        <v>19</v>
      </c>
    </row>
    <row r="11" spans="1:21">
      <c r="G11" s="34">
        <f>SUMSQ(G14:G90)</f>
        <v>5.3319837898675046E-2</v>
      </c>
      <c r="H11" s="33">
        <f>SUMSQ(H14:H90)</f>
        <v>76032.022338267416</v>
      </c>
      <c r="I11" s="34">
        <f>1-(G11/H11)</f>
        <v>0.99999929871866799</v>
      </c>
      <c r="J11" s="35">
        <f>SQRT(G11/(COUNT(E14:E90)-1))</f>
        <v>2.8640970626729021E-2</v>
      </c>
      <c r="T11" s="45"/>
      <c r="U11" s="45"/>
    </row>
    <row r="12" spans="1:21" ht="22" customHeight="1">
      <c r="C12" s="48"/>
      <c r="T12" s="45"/>
      <c r="U12" s="45"/>
    </row>
    <row r="13" spans="1:21" ht="32" customHeight="1">
      <c r="A13" s="52" t="s">
        <v>34</v>
      </c>
      <c r="B13" s="52" t="s">
        <v>2</v>
      </c>
      <c r="C13" s="52" t="s">
        <v>7</v>
      </c>
      <c r="D13" s="52" t="s">
        <v>8</v>
      </c>
      <c r="E13" s="53" t="s">
        <v>9</v>
      </c>
      <c r="F13" s="52" t="s">
        <v>35</v>
      </c>
      <c r="G13" s="53" t="s">
        <v>14</v>
      </c>
      <c r="H13" s="53" t="s">
        <v>16</v>
      </c>
      <c r="T13" s="45"/>
      <c r="U13" s="45"/>
    </row>
    <row r="14" spans="1:21">
      <c r="A14" s="49">
        <v>0</v>
      </c>
      <c r="B14" s="49">
        <v>1</v>
      </c>
      <c r="C14" s="60">
        <v>208.50274181105482</v>
      </c>
      <c r="D14" s="50">
        <v>500</v>
      </c>
      <c r="E14" s="49">
        <v>9.2831727731224412</v>
      </c>
      <c r="F14" s="51" cm="1">
        <f t="array" ref="F14">PreIncRevEndPoint(A14,$B$10,B14,$B$4,$B$5,$B$6,$B$7,D14,$G$1,$G$2, $G$3)*C14</f>
        <v>9.2881994685734739</v>
      </c>
      <c r="G14">
        <f>IF(E14="", "", E14-F14)</f>
        <v>-5.0266954510327366E-3</v>
      </c>
      <c r="H14" s="31">
        <f t="shared" ref="H14:H25" si="0">IF(E14="", "", E14-AVERAGE($E$14:$E$90))</f>
        <v>-64.177201517643098</v>
      </c>
      <c r="P14" s="42"/>
      <c r="Q14" s="43"/>
      <c r="T14" s="45"/>
      <c r="U14" s="45"/>
    </row>
    <row r="15" spans="1:21">
      <c r="A15" s="24">
        <f>IF(A$14="", "", A$14)</f>
        <v>0</v>
      </c>
      <c r="B15" s="24">
        <f>IF(B$14="", "", B$14)</f>
        <v>1</v>
      </c>
      <c r="C15" s="24">
        <f>IF(C$14="", "", C$14)</f>
        <v>208.50274181105482</v>
      </c>
      <c r="D15" s="30">
        <v>166.66666666666666</v>
      </c>
      <c r="E15" s="3">
        <v>23.48056431735375</v>
      </c>
      <c r="F15" s="51" cm="1">
        <f t="array" ref="F15">PreIncRevEndPoint(A15,$B$10,B15,$B$4,$B$5,$B$6,$B$7,D15,$G$1,$G$2, $G$3)*C15</f>
        <v>23.48956703027719</v>
      </c>
      <c r="G15">
        <f t="shared" ref="G15:G38" si="1">IF(E15="", "", E15-F15)</f>
        <v>-9.0027129234400149E-3</v>
      </c>
      <c r="H15" s="31">
        <f t="shared" si="0"/>
        <v>-49.97980997341179</v>
      </c>
      <c r="P15" s="42"/>
      <c r="Q15" s="44"/>
      <c r="T15" s="45"/>
      <c r="U15" s="45"/>
    </row>
    <row r="16" spans="1:21">
      <c r="A16" s="24">
        <f t="shared" ref="A16:C25" si="2">IF(A$14="", "", A$14)</f>
        <v>0</v>
      </c>
      <c r="B16" s="24">
        <f t="shared" si="2"/>
        <v>1</v>
      </c>
      <c r="C16" s="24">
        <f t="shared" si="2"/>
        <v>208.50274181105482</v>
      </c>
      <c r="D16" s="30">
        <v>55.55555555555555</v>
      </c>
      <c r="E16" s="3">
        <v>47.916203213725559</v>
      </c>
      <c r="F16" s="51" cm="1">
        <f t="array" ref="F16">PreIncRevEndPoint(A16,$B$10,B16,$B$4,$B$5,$B$6,$B$7,D16,$G$1,$G$2, $G$3)*C16</f>
        <v>47.921566940895467</v>
      </c>
      <c r="G16">
        <f t="shared" si="1"/>
        <v>-5.3637271699074063E-3</v>
      </c>
      <c r="H16" s="31">
        <f t="shared" si="0"/>
        <v>-25.544171077039984</v>
      </c>
      <c r="P16" s="42"/>
      <c r="Q16" s="44"/>
      <c r="T16" s="45"/>
      <c r="U16" s="45"/>
    </row>
    <row r="17" spans="1:17">
      <c r="A17" s="24">
        <f t="shared" si="2"/>
        <v>0</v>
      </c>
      <c r="B17" s="24">
        <f t="shared" si="2"/>
        <v>1</v>
      </c>
      <c r="C17" s="24">
        <f t="shared" si="2"/>
        <v>208.50274181105482</v>
      </c>
      <c r="D17" s="30">
        <v>18.518518518518515</v>
      </c>
      <c r="E17" s="47">
        <v>73.401894967741981</v>
      </c>
      <c r="F17" s="51" cm="1">
        <f t="array" ref="F17">PreIncRevEndPoint(A17,$B$10,B17,$B$4,$B$5,$B$6,$B$7,D17,$G$1,$G$2, $G$3)*C17</f>
        <v>73.389361994653953</v>
      </c>
      <c r="G17">
        <f t="shared" si="1"/>
        <v>1.2532973088028143E-2</v>
      </c>
      <c r="H17" s="31">
        <f t="shared" si="0"/>
        <v>-5.8479323023561847E-2</v>
      </c>
      <c r="P17" s="42"/>
      <c r="Q17" s="44"/>
    </row>
    <row r="18" spans="1:17">
      <c r="A18" s="24">
        <f t="shared" si="2"/>
        <v>0</v>
      </c>
      <c r="B18" s="24">
        <f t="shared" si="2"/>
        <v>1</v>
      </c>
      <c r="C18" s="24">
        <f t="shared" si="2"/>
        <v>208.50274181105482</v>
      </c>
      <c r="D18" s="30">
        <v>6.1728395061728385</v>
      </c>
      <c r="E18" s="47">
        <v>89.242160479378839</v>
      </c>
      <c r="F18" s="51" cm="1">
        <f t="array" ref="F18">PreIncRevEndPoint(A18,$B$10,B18,$B$4,$B$5,$B$6,$B$7,D18,$G$1,$G$2, $G$3)*C18</f>
        <v>89.21124777748129</v>
      </c>
      <c r="G18">
        <f t="shared" si="1"/>
        <v>3.09127018975488E-2</v>
      </c>
      <c r="H18" s="31">
        <f t="shared" si="0"/>
        <v>15.781786188613296</v>
      </c>
      <c r="P18" s="42"/>
      <c r="Q18" s="46"/>
    </row>
    <row r="19" spans="1:17">
      <c r="A19" s="24">
        <f t="shared" si="2"/>
        <v>0</v>
      </c>
      <c r="B19" s="24">
        <f t="shared" si="2"/>
        <v>1</v>
      </c>
      <c r="C19" s="24">
        <f t="shared" si="2"/>
        <v>208.50274181105482</v>
      </c>
      <c r="D19" s="30">
        <v>2.0576131687242794</v>
      </c>
      <c r="E19" s="3">
        <v>96.165010111388355</v>
      </c>
      <c r="F19" s="51" cm="1">
        <f t="array" ref="F19">PreIncRevEndPoint(A19,$B$10,B19,$B$4,$B$5,$B$6,$B$7,D19,$G$1,$G$2, $G$3)*C19</f>
        <v>96.124315442046054</v>
      </c>
      <c r="G19">
        <f t="shared" si="1"/>
        <v>4.0694669342300926E-2</v>
      </c>
      <c r="H19" s="31">
        <f t="shared" si="0"/>
        <v>22.704635820622812</v>
      </c>
      <c r="P19" s="42"/>
      <c r="Q19" s="44"/>
    </row>
    <row r="20" spans="1:17">
      <c r="A20" s="24">
        <f t="shared" si="2"/>
        <v>0</v>
      </c>
      <c r="B20" s="24">
        <f t="shared" si="2"/>
        <v>1</v>
      </c>
      <c r="C20" s="24">
        <f t="shared" si="2"/>
        <v>208.50274181105482</v>
      </c>
      <c r="D20" s="30">
        <v>0.68587105624142641</v>
      </c>
      <c r="E20" s="3">
        <v>98.718545893824825</v>
      </c>
      <c r="F20" s="51" cm="1">
        <f t="array" ref="F20">PreIncRevEndPoint(A20,$B$10,B20,$B$4,$B$5,$B$6,$B$7,D20,$G$1,$G$2, $G$3)*C20</f>
        <v>98.673974147113</v>
      </c>
      <c r="G20">
        <f t="shared" si="1"/>
        <v>4.4571746711824289E-2</v>
      </c>
      <c r="H20" s="31">
        <f t="shared" si="0"/>
        <v>25.258171603059282</v>
      </c>
      <c r="P20" s="42"/>
      <c r="Q20" s="44"/>
    </row>
    <row r="21" spans="1:17">
      <c r="A21" s="24">
        <f t="shared" si="2"/>
        <v>0</v>
      </c>
      <c r="B21" s="24">
        <f t="shared" si="2"/>
        <v>1</v>
      </c>
      <c r="C21" s="24">
        <f t="shared" si="2"/>
        <v>208.50274181105482</v>
      </c>
      <c r="D21" s="30">
        <v>0.22862368541380881</v>
      </c>
      <c r="E21" s="3">
        <v>99.600243520143721</v>
      </c>
      <c r="F21" s="51" cm="1">
        <f t="array" ref="F21">PreIncRevEndPoint(A21,$B$10,B21,$B$4,$B$5,$B$6,$B$7,D21,$G$1,$G$2, $G$3)*C21</f>
        <v>99.554299394269322</v>
      </c>
      <c r="G21">
        <f t="shared" si="1"/>
        <v>4.5944125874399333E-2</v>
      </c>
      <c r="H21" s="31">
        <f t="shared" si="0"/>
        <v>26.139869229378178</v>
      </c>
      <c r="P21" s="42"/>
      <c r="Q21" s="44"/>
    </row>
    <row r="22" spans="1:17">
      <c r="A22" s="24">
        <f t="shared" si="2"/>
        <v>0</v>
      </c>
      <c r="B22" s="24">
        <f t="shared" si="2"/>
        <v>1</v>
      </c>
      <c r="C22" s="24">
        <f t="shared" si="2"/>
        <v>208.50274181105482</v>
      </c>
      <c r="D22" s="30">
        <v>7.6207895137936271E-2</v>
      </c>
      <c r="E22" s="3">
        <v>99.89766633732026</v>
      </c>
      <c r="F22" s="51" cm="1">
        <f t="array" ref="F22">PreIncRevEndPoint(A22,$B$10,B22,$B$4,$B$5,$B$6,$B$7,D22,$G$1,$G$2, $G$3)*C22</f>
        <v>99.851255366300421</v>
      </c>
      <c r="G22">
        <f t="shared" si="1"/>
        <v>4.6410971019838598E-2</v>
      </c>
      <c r="H22" s="31">
        <f t="shared" si="0"/>
        <v>26.437292046554717</v>
      </c>
      <c r="P22" s="42"/>
      <c r="Q22" s="44"/>
    </row>
    <row r="23" spans="1:17">
      <c r="A23" s="24">
        <f t="shared" si="2"/>
        <v>0</v>
      </c>
      <c r="B23" s="24">
        <f t="shared" si="2"/>
        <v>1</v>
      </c>
      <c r="C23" s="24">
        <f t="shared" si="2"/>
        <v>208.50274181105482</v>
      </c>
      <c r="D23" s="30">
        <v>2.5402631712645424E-2</v>
      </c>
      <c r="E23" s="3">
        <v>99.997203897620011</v>
      </c>
      <c r="F23" s="51" cm="1">
        <f t="array" ref="F23">PreIncRevEndPoint(A23,$B$10,B23,$B$4,$B$5,$B$6,$B$7,D23,$G$1,$G$2, $G$3)*C23</f>
        <v>99.950636249462434</v>
      </c>
      <c r="G23">
        <f t="shared" si="1"/>
        <v>4.6567648157576969E-2</v>
      </c>
      <c r="H23" s="31">
        <f t="shared" si="0"/>
        <v>26.536829606854468</v>
      </c>
      <c r="P23" s="42"/>
      <c r="Q23" s="44"/>
    </row>
    <row r="24" spans="1:17">
      <c r="A24" s="24">
        <f t="shared" si="2"/>
        <v>0</v>
      </c>
      <c r="B24" s="24">
        <f t="shared" si="2"/>
        <v>1</v>
      </c>
      <c r="C24" s="24">
        <f t="shared" si="2"/>
        <v>208.50274181105482</v>
      </c>
      <c r="D24" s="30">
        <v>8.4675439042151412E-3</v>
      </c>
      <c r="E24" s="3">
        <v>100.03042734518586</v>
      </c>
      <c r="F24" s="51" cm="1">
        <f t="array" ref="F24">PreIncRevEndPoint(A24,$B$10,B24,$B$4,$B$5,$B$6,$B$7,D24,$G$1,$G$2, $G$3)*C24</f>
        <v>99.983807352579802</v>
      </c>
      <c r="G24">
        <f t="shared" si="1"/>
        <v>4.6619992606053984E-2</v>
      </c>
      <c r="H24" s="31">
        <f t="shared" si="0"/>
        <v>26.570053054420313</v>
      </c>
    </row>
    <row r="25" spans="1:17">
      <c r="A25" s="24">
        <f t="shared" si="2"/>
        <v>0</v>
      </c>
      <c r="B25" s="24">
        <f t="shared" si="2"/>
        <v>1</v>
      </c>
      <c r="C25" s="24">
        <f t="shared" si="2"/>
        <v>208.50274181105482</v>
      </c>
      <c r="D25" s="30"/>
      <c r="E25" s="3"/>
      <c r="F25" s="51" cm="1">
        <f t="array" ref="F25">PreIncRevEndPoint(A25,$B$10,B25,$B$4,$B$5,$B$6,$B$7,D25,$G$1,$G$2, $G$3)*C25</f>
        <v>100.00040119323126</v>
      </c>
      <c r="G25" t="str">
        <f t="shared" si="1"/>
        <v/>
      </c>
      <c r="H25" s="31" t="str">
        <f t="shared" si="0"/>
        <v/>
      </c>
    </row>
    <row r="26" spans="1:17" s="10" customFormat="1">
      <c r="H26" s="32"/>
    </row>
    <row r="27" spans="1:17">
      <c r="A27" s="9">
        <v>0</v>
      </c>
      <c r="B27" s="8">
        <v>2</v>
      </c>
      <c r="C27" s="40">
        <v>104.26083951120762</v>
      </c>
      <c r="D27" s="30">
        <v>500</v>
      </c>
      <c r="E27" s="8">
        <v>8.9015622950957933</v>
      </c>
      <c r="F27" s="51" cm="1">
        <f t="array" ref="F27">PreIncRevEndPoint(A27,$B$10,B27,$B$4,$B$5,$B$6,$B$7,D27,$G$1,$G$2, $G$3)*C27</f>
        <v>8.9072158180451382</v>
      </c>
      <c r="G27">
        <f t="shared" si="1"/>
        <v>-5.6535229493448469E-3</v>
      </c>
      <c r="H27" s="31">
        <f t="shared" ref="H27:H38" si="3">IF(E27="", "", E27-AVERAGE($E$14:$E$90))</f>
        <v>-64.558811995669743</v>
      </c>
    </row>
    <row r="28" spans="1:17">
      <c r="A28" s="24">
        <f>IF(A$27="", "", A$27)</f>
        <v>0</v>
      </c>
      <c r="B28" s="24">
        <f>IF(B$27="", "", B$27)</f>
        <v>2</v>
      </c>
      <c r="C28" s="24">
        <f>IF(C$27="", "", C$27)</f>
        <v>104.26083951120762</v>
      </c>
      <c r="D28" s="30">
        <v>166.66666666666666</v>
      </c>
      <c r="E28" s="3">
        <v>22.655181023029272</v>
      </c>
      <c r="F28" s="51" cm="1">
        <f t="array" ref="F28">PreIncRevEndPoint(A28,$B$10,B28,$B$4,$B$5,$B$6,$B$7,D28,$G$1,$G$2, $G$3)*C28</f>
        <v>22.666100376884469</v>
      </c>
      <c r="G28">
        <f t="shared" si="1"/>
        <v>-1.0919353855197045E-2</v>
      </c>
      <c r="H28" s="31">
        <f t="shared" si="3"/>
        <v>-50.805193267736271</v>
      </c>
    </row>
    <row r="29" spans="1:17">
      <c r="A29" s="24">
        <f t="shared" ref="A29:C38" si="4">IF(A$27="", "", A$27)</f>
        <v>0</v>
      </c>
      <c r="B29" s="24">
        <f t="shared" si="4"/>
        <v>2</v>
      </c>
      <c r="C29" s="24">
        <f t="shared" si="4"/>
        <v>104.26083951120762</v>
      </c>
      <c r="D29" s="30">
        <v>55.55555555555555</v>
      </c>
      <c r="E29" s="3">
        <v>46.740649963042401</v>
      </c>
      <c r="F29" s="51" cm="1">
        <f t="array" ref="F29">PreIncRevEndPoint(A29,$B$10,B29,$B$4,$B$5,$B$6,$B$7,D29,$G$1,$G$2, $G$3)*C29</f>
        <v>46.750684131073776</v>
      </c>
      <c r="G29">
        <f t="shared" si="1"/>
        <v>-1.0034168031374691E-2</v>
      </c>
      <c r="H29" s="31">
        <f t="shared" si="3"/>
        <v>-26.719724327723142</v>
      </c>
    </row>
    <row r="30" spans="1:17">
      <c r="A30" s="24">
        <f t="shared" si="4"/>
        <v>0</v>
      </c>
      <c r="B30" s="24">
        <f t="shared" si="4"/>
        <v>2</v>
      </c>
      <c r="C30" s="24">
        <f t="shared" si="4"/>
        <v>104.26083951120762</v>
      </c>
      <c r="D30" s="30">
        <v>18.518518518518515</v>
      </c>
      <c r="E30" s="3">
        <v>72.454027590350307</v>
      </c>
      <c r="F30" s="51" cm="1">
        <f t="array" ref="F30">PreIncRevEndPoint(A30,$B$10,B30,$B$4,$B$5,$B$6,$B$7,D30,$G$1,$G$2, $G$3)*C30</f>
        <v>72.448953882340888</v>
      </c>
      <c r="G30">
        <f t="shared" si="1"/>
        <v>5.0737080094194198E-3</v>
      </c>
      <c r="H30" s="31">
        <f t="shared" si="3"/>
        <v>-1.0063467004152358</v>
      </c>
    </row>
    <row r="31" spans="1:17">
      <c r="A31" s="24">
        <f t="shared" si="4"/>
        <v>0</v>
      </c>
      <c r="B31" s="24">
        <f t="shared" si="4"/>
        <v>2</v>
      </c>
      <c r="C31" s="24">
        <f t="shared" si="4"/>
        <v>104.26083951120762</v>
      </c>
      <c r="D31" s="30">
        <v>6.1728395061728385</v>
      </c>
      <c r="E31" s="3">
        <v>88.761966705600116</v>
      </c>
      <c r="F31" s="51" cm="1">
        <f t="array" ref="F31">PreIncRevEndPoint(A31,$B$10,B31,$B$4,$B$5,$B$6,$B$7,D31,$G$1,$G$2, $G$3)*C31</f>
        <v>88.739727551048674</v>
      </c>
      <c r="G31">
        <f t="shared" si="1"/>
        <v>2.2239154551442653E-2</v>
      </c>
      <c r="H31" s="31">
        <f t="shared" si="3"/>
        <v>15.301592414834573</v>
      </c>
    </row>
    <row r="32" spans="1:17">
      <c r="A32" s="24">
        <f t="shared" si="4"/>
        <v>0</v>
      </c>
      <c r="B32" s="24">
        <f t="shared" si="4"/>
        <v>2</v>
      </c>
      <c r="C32" s="24">
        <f t="shared" si="4"/>
        <v>104.26083951120762</v>
      </c>
      <c r="D32" s="30">
        <v>2.0576131687242794</v>
      </c>
      <c r="E32" s="3">
        <v>95.971879990940693</v>
      </c>
      <c r="F32" s="51" cm="1">
        <f t="array" ref="F32">PreIncRevEndPoint(A32,$B$10,B32,$B$4,$B$5,$B$6,$B$7,D32,$G$1,$G$2, $G$3)*C32</f>
        <v>95.940170275835357</v>
      </c>
      <c r="G32">
        <f t="shared" si="1"/>
        <v>3.1709715105336045E-2</v>
      </c>
      <c r="H32" s="31">
        <f t="shared" si="3"/>
        <v>22.51150570017515</v>
      </c>
    </row>
    <row r="33" spans="1:8">
      <c r="A33" s="24">
        <f t="shared" si="4"/>
        <v>0</v>
      </c>
      <c r="B33" s="24">
        <f t="shared" si="4"/>
        <v>2</v>
      </c>
      <c r="C33" s="24">
        <f t="shared" si="4"/>
        <v>104.26083951120762</v>
      </c>
      <c r="D33" s="30">
        <v>0.68587105624142641</v>
      </c>
      <c r="E33" s="3">
        <v>98.644357028245253</v>
      </c>
      <c r="F33" s="51" cm="1">
        <f t="array" ref="F33">PreIncRevEndPoint(A33,$B$10,B33,$B$4,$B$5,$B$6,$B$7,D33,$G$1,$G$2, $G$3)*C33</f>
        <v>98.608843151611325</v>
      </c>
      <c r="G33">
        <f t="shared" si="1"/>
        <v>3.5513876633928021E-2</v>
      </c>
      <c r="H33" s="31">
        <f t="shared" si="3"/>
        <v>25.18398273747971</v>
      </c>
    </row>
    <row r="34" spans="1:8">
      <c r="A34" s="24">
        <f t="shared" si="4"/>
        <v>0</v>
      </c>
      <c r="B34" s="24">
        <f t="shared" si="4"/>
        <v>2</v>
      </c>
      <c r="C34" s="24">
        <f t="shared" si="4"/>
        <v>104.26083951120762</v>
      </c>
      <c r="D34" s="30">
        <v>0.22862368541380881</v>
      </c>
      <c r="E34" s="3">
        <v>99.568776742112803</v>
      </c>
      <c r="F34" s="51" cm="1">
        <f t="array" ref="F34">PreIncRevEndPoint(A34,$B$10,B34,$B$4,$B$5,$B$6,$B$7,D34,$G$1,$G$2, $G$3)*C34</f>
        <v>99.531909968750782</v>
      </c>
      <c r="G34">
        <f t="shared" si="1"/>
        <v>3.6866773362021377E-2</v>
      </c>
      <c r="H34" s="31">
        <f t="shared" si="3"/>
        <v>26.10840245134726</v>
      </c>
    </row>
    <row r="35" spans="1:8">
      <c r="A35" s="24">
        <f t="shared" si="4"/>
        <v>0</v>
      </c>
      <c r="B35" s="24">
        <f t="shared" si="4"/>
        <v>2</v>
      </c>
      <c r="C35" s="24">
        <f t="shared" si="4"/>
        <v>104.26083951120762</v>
      </c>
      <c r="D35" s="30">
        <v>7.6207895137936271E-2</v>
      </c>
      <c r="E35" s="3">
        <v>99.880803253519986</v>
      </c>
      <c r="F35" s="51" cm="1">
        <f t="array" ref="F35">PreIncRevEndPoint(A35,$B$10,B35,$B$4,$B$5,$B$6,$B$7,D35,$G$1,$G$2, $G$3)*C35</f>
        <v>99.843475528822651</v>
      </c>
      <c r="G35">
        <f t="shared" si="1"/>
        <v>3.7327724697334475E-2</v>
      </c>
      <c r="H35" s="31">
        <f t="shared" si="3"/>
        <v>26.420428962754443</v>
      </c>
    </row>
    <row r="36" spans="1:8">
      <c r="A36" s="24">
        <f t="shared" si="4"/>
        <v>0</v>
      </c>
      <c r="B36" s="24">
        <f t="shared" si="4"/>
        <v>2</v>
      </c>
      <c r="C36" s="24">
        <f t="shared" si="4"/>
        <v>104.26083951120762</v>
      </c>
      <c r="D36" s="30">
        <v>2.5402631712645424E-2</v>
      </c>
      <c r="E36" s="3">
        <v>99.985249880113471</v>
      </c>
      <c r="F36" s="51" cm="1">
        <f t="array" ref="F36">PreIncRevEndPoint(A36,$B$10,B36,$B$4,$B$5,$B$6,$B$7,D36,$G$1,$G$2, $G$3)*C36</f>
        <v>99.947767373596903</v>
      </c>
      <c r="G36">
        <f t="shared" si="1"/>
        <v>3.7482506516568037E-2</v>
      </c>
      <c r="H36" s="31">
        <f t="shared" si="3"/>
        <v>26.524875589347928</v>
      </c>
    </row>
    <row r="37" spans="1:8">
      <c r="A37" s="24">
        <f t="shared" si="4"/>
        <v>0</v>
      </c>
      <c r="B37" s="24">
        <f t="shared" si="4"/>
        <v>2</v>
      </c>
      <c r="C37" s="24">
        <f t="shared" si="4"/>
        <v>104.26083951120762</v>
      </c>
      <c r="D37" s="30">
        <v>8.4675439042151412E-3</v>
      </c>
      <c r="E37" s="3">
        <v>100.02011428887087</v>
      </c>
      <c r="F37" s="51" cm="1">
        <f t="array" ref="F37">PreIncRevEndPoint(A37,$B$10,B37,$B$4,$B$5,$B$6,$B$7,D37,$G$1,$G$2, $G$3)*C37</f>
        <v>99.982580061882189</v>
      </c>
      <c r="G37">
        <f t="shared" si="1"/>
        <v>3.7534226988682917E-2</v>
      </c>
      <c r="H37" s="31">
        <f t="shared" si="3"/>
        <v>26.559739998105329</v>
      </c>
    </row>
    <row r="38" spans="1:8">
      <c r="A38" s="24">
        <f t="shared" si="4"/>
        <v>0</v>
      </c>
      <c r="B38" s="24">
        <f t="shared" si="4"/>
        <v>2</v>
      </c>
      <c r="C38" s="24">
        <f t="shared" si="4"/>
        <v>104.26083951120762</v>
      </c>
      <c r="D38" s="30"/>
      <c r="E38" s="3"/>
      <c r="F38" s="51" cm="1">
        <f t="array" ref="F38">PreIncRevEndPoint(A38,$B$10,B38,$B$4,$B$5,$B$6,$B$7,D38,$G$1,$G$2, $G$3)*C38</f>
        <v>99.999995559287797</v>
      </c>
      <c r="G38" t="str">
        <f t="shared" si="1"/>
        <v/>
      </c>
      <c r="H38" s="31" t="str">
        <f t="shared" si="3"/>
        <v/>
      </c>
    </row>
    <row r="39" spans="1:8" s="10" customFormat="1">
      <c r="H39" s="32"/>
    </row>
    <row r="40" spans="1:8">
      <c r="A40" s="9">
        <v>0</v>
      </c>
      <c r="B40" s="8">
        <v>5</v>
      </c>
      <c r="C40" s="40">
        <v>41.716516623281365</v>
      </c>
      <c r="D40" s="30">
        <v>500</v>
      </c>
      <c r="E40" s="8">
        <v>7.9419619609979097</v>
      </c>
      <c r="F40" s="51" cm="1">
        <f t="array" ref="F40">PreIncRevEndPoint(A40,$B$10,B40,$B$4,$B$5,$B$6,$B$7,D40,$G$1,$G$2, $G$3)*C40</f>
        <v>7.9493688519802248</v>
      </c>
      <c r="G40">
        <f t="shared" ref="G40:G51" si="5">IF(E40="", "", E40-F40)</f>
        <v>-7.4068909823150619E-3</v>
      </c>
      <c r="H40" s="31">
        <f t="shared" ref="H40:H51" si="6">IF(E40="", "", E40-AVERAGE($E$14:$E$90))</f>
        <v>-65.518412329767628</v>
      </c>
    </row>
    <row r="41" spans="1:8">
      <c r="A41" s="24">
        <f>IF(A$40="", "", A$40)</f>
        <v>0</v>
      </c>
      <c r="B41" s="24">
        <f>IF(B$40="", "", B$40)</f>
        <v>5</v>
      </c>
      <c r="C41" s="24">
        <f>IF(C$40="", "", C$40)</f>
        <v>41.716516623281365</v>
      </c>
      <c r="D41" s="30">
        <v>166.66666666666666</v>
      </c>
      <c r="E41" s="3">
        <v>20.544060245864809</v>
      </c>
      <c r="F41" s="51" cm="1">
        <f t="array" ref="F41">PreIncRevEndPoint(A41,$B$10,B41,$B$4,$B$5,$B$6,$B$7,D41,$G$1,$G$2, $G$3)*C41</f>
        <v>20.560348999147934</v>
      </c>
      <c r="G41">
        <f t="shared" si="5"/>
        <v>-1.628875328312418E-2</v>
      </c>
      <c r="H41" s="31">
        <f t="shared" si="6"/>
        <v>-52.91631404490073</v>
      </c>
    </row>
    <row r="42" spans="1:8">
      <c r="A42" s="24">
        <f t="shared" ref="A42:C51" si="7">IF(A$40="", "", A$40)</f>
        <v>0</v>
      </c>
      <c r="B42" s="24">
        <f t="shared" si="7"/>
        <v>5</v>
      </c>
      <c r="C42" s="24">
        <f t="shared" si="7"/>
        <v>41.716516623281365</v>
      </c>
      <c r="D42" s="30">
        <v>55.55555555555555</v>
      </c>
      <c r="E42" s="3">
        <v>43.635756804611404</v>
      </c>
      <c r="F42" s="51" cm="1">
        <f t="array" ref="F42">PreIncRevEndPoint(A42,$B$10,B42,$B$4,$B$5,$B$6,$B$7,D42,$G$1,$G$2, $G$3)*C42</f>
        <v>43.659217764942973</v>
      </c>
      <c r="G42">
        <f t="shared" si="5"/>
        <v>-2.346096033156897E-2</v>
      </c>
      <c r="H42" s="31">
        <f t="shared" si="6"/>
        <v>-29.824617486154139</v>
      </c>
    </row>
    <row r="43" spans="1:8">
      <c r="A43" s="24">
        <f t="shared" si="7"/>
        <v>0</v>
      </c>
      <c r="B43" s="24">
        <f t="shared" si="7"/>
        <v>5</v>
      </c>
      <c r="C43" s="24">
        <f t="shared" si="7"/>
        <v>41.716516623281365</v>
      </c>
      <c r="D43" s="30">
        <v>18.518518518518515</v>
      </c>
      <c r="E43" s="3">
        <v>69.853407454291897</v>
      </c>
      <c r="F43" s="51" cm="1">
        <f t="array" ref="F43">PreIncRevEndPoint(A43,$B$10,B43,$B$4,$B$5,$B$6,$B$7,D43,$G$1,$G$2, $G$3)*C43</f>
        <v>69.87078745839176</v>
      </c>
      <c r="G43">
        <f t="shared" si="5"/>
        <v>-1.7380004099862845E-2</v>
      </c>
      <c r="H43" s="31">
        <f t="shared" si="6"/>
        <v>-3.6069668364736458</v>
      </c>
    </row>
    <row r="44" spans="1:8">
      <c r="A44" s="24">
        <f t="shared" si="7"/>
        <v>0</v>
      </c>
      <c r="B44" s="24">
        <f t="shared" si="7"/>
        <v>5</v>
      </c>
      <c r="C44" s="24">
        <f t="shared" si="7"/>
        <v>41.716516623281365</v>
      </c>
      <c r="D44" s="30">
        <v>6.1728395061728385</v>
      </c>
      <c r="E44" s="3">
        <v>87.408564372164534</v>
      </c>
      <c r="F44" s="51" cm="1">
        <f t="array" ref="F44">PreIncRevEndPoint(A44,$B$10,B44,$B$4,$B$5,$B$6,$B$7,D44,$G$1,$G$2, $G$3)*C44</f>
        <v>87.413413311642074</v>
      </c>
      <c r="G44">
        <f t="shared" si="5"/>
        <v>-4.8489394775401706E-3</v>
      </c>
      <c r="H44" s="31">
        <f t="shared" si="6"/>
        <v>13.948190081398991</v>
      </c>
    </row>
    <row r="45" spans="1:8">
      <c r="A45" s="24">
        <f t="shared" si="7"/>
        <v>0</v>
      </c>
      <c r="B45" s="24">
        <f t="shared" si="7"/>
        <v>5</v>
      </c>
      <c r="C45" s="24">
        <f t="shared" si="7"/>
        <v>41.716516623281365</v>
      </c>
      <c r="D45" s="30">
        <v>2.0576131687242794</v>
      </c>
      <c r="E45" s="3">
        <v>95.41971606083051</v>
      </c>
      <c r="F45" s="51" cm="1">
        <f t="array" ref="F45">PreIncRevEndPoint(A45,$B$10,B45,$B$4,$B$5,$B$6,$B$7,D45,$G$1,$G$2, $G$3)*C45</f>
        <v>95.416581351157674</v>
      </c>
      <c r="G45">
        <f t="shared" si="5"/>
        <v>3.1347096728353563E-3</v>
      </c>
      <c r="H45" s="31">
        <f t="shared" si="6"/>
        <v>21.959341770064967</v>
      </c>
    </row>
    <row r="46" spans="1:8">
      <c r="A46" s="24">
        <f t="shared" si="7"/>
        <v>0</v>
      </c>
      <c r="B46" s="24">
        <f t="shared" si="7"/>
        <v>5</v>
      </c>
      <c r="C46" s="24">
        <f t="shared" si="7"/>
        <v>41.716516623281365</v>
      </c>
      <c r="D46" s="30">
        <v>0.68587105624142641</v>
      </c>
      <c r="E46" s="3">
        <v>98.430056761148464</v>
      </c>
      <c r="F46" s="51" cm="1">
        <f t="array" ref="F46">PreIncRevEndPoint(A46,$B$10,B46,$B$4,$B$5,$B$6,$B$7,D46,$G$1,$G$2, $G$3)*C46</f>
        <v>98.423553439500367</v>
      </c>
      <c r="G46">
        <f t="shared" si="5"/>
        <v>6.5033216480969713E-3</v>
      </c>
      <c r="H46" s="31">
        <f t="shared" si="6"/>
        <v>24.969682470382921</v>
      </c>
    </row>
    <row r="47" spans="1:8">
      <c r="A47" s="24">
        <f t="shared" si="7"/>
        <v>0</v>
      </c>
      <c r="B47" s="24">
        <f t="shared" si="7"/>
        <v>5</v>
      </c>
      <c r="C47" s="24">
        <f t="shared" si="7"/>
        <v>41.716516623281365</v>
      </c>
      <c r="D47" s="30">
        <v>0.22862368541380881</v>
      </c>
      <c r="E47" s="3">
        <v>99.476600554117439</v>
      </c>
      <c r="F47" s="51" cm="1">
        <f t="array" ref="F47">PreIncRevEndPoint(A47,$B$10,B47,$B$4,$B$5,$B$6,$B$7,D47,$G$1,$G$2, $G$3)*C47</f>
        <v>99.468878854250747</v>
      </c>
      <c r="G47">
        <f t="shared" si="5"/>
        <v>7.7216998666926884E-3</v>
      </c>
      <c r="H47" s="31">
        <f t="shared" si="6"/>
        <v>26.016226263351896</v>
      </c>
    </row>
    <row r="48" spans="1:8">
      <c r="A48" s="24">
        <f t="shared" si="7"/>
        <v>0</v>
      </c>
      <c r="B48" s="24">
        <f t="shared" si="7"/>
        <v>5</v>
      </c>
      <c r="C48" s="24">
        <f t="shared" si="7"/>
        <v>41.716516623281365</v>
      </c>
      <c r="D48" s="30">
        <v>7.6207895137936271E-2</v>
      </c>
      <c r="E48" s="3">
        <v>99.830463156111165</v>
      </c>
      <c r="F48" s="51" cm="1">
        <f t="array" ref="F48">PreIncRevEndPoint(A48,$B$10,B48,$B$4,$B$5,$B$6,$B$7,D48,$G$1,$G$2, $G$3)*C48</f>
        <v>99.822323968284806</v>
      </c>
      <c r="G48">
        <f t="shared" si="5"/>
        <v>8.1391878263588069E-3</v>
      </c>
      <c r="H48" s="31">
        <f t="shared" si="6"/>
        <v>26.370088865345622</v>
      </c>
    </row>
    <row r="49" spans="1:8">
      <c r="A49" s="24">
        <f t="shared" si="7"/>
        <v>0</v>
      </c>
      <c r="B49" s="24">
        <f t="shared" si="7"/>
        <v>5</v>
      </c>
      <c r="C49" s="24">
        <f t="shared" si="7"/>
        <v>41.716516623281365</v>
      </c>
      <c r="D49" s="30">
        <v>2.5402631712645424E-2</v>
      </c>
      <c r="E49" s="3">
        <v>99.948983328477482</v>
      </c>
      <c r="F49" s="51" cm="1">
        <f t="array" ref="F49">PreIncRevEndPoint(A49,$B$10,B49,$B$4,$B$5,$B$6,$B$7,D49,$G$1,$G$2, $G$3)*C49</f>
        <v>99.940703685975436</v>
      </c>
      <c r="G49">
        <f t="shared" si="5"/>
        <v>8.2796425020461584E-3</v>
      </c>
      <c r="H49" s="31">
        <f t="shared" si="6"/>
        <v>26.488609037711939</v>
      </c>
    </row>
    <row r="50" spans="1:8">
      <c r="A50" s="24">
        <f t="shared" si="7"/>
        <v>0</v>
      </c>
      <c r="B50" s="24">
        <f t="shared" si="7"/>
        <v>5</v>
      </c>
      <c r="C50" s="24">
        <f t="shared" si="7"/>
        <v>41.716516623281365</v>
      </c>
      <c r="D50" s="30">
        <v>8.4675439042151412E-3</v>
      </c>
      <c r="E50" s="3">
        <v>99.988553269080498</v>
      </c>
      <c r="F50" s="51" cm="1">
        <f t="array" ref="F50">PreIncRevEndPoint(A50,$B$10,B50,$B$4,$B$5,$B$6,$B$7,D50,$G$1,$G$2, $G$3)*C50</f>
        <v>99.98022666367541</v>
      </c>
      <c r="G50">
        <f t="shared" si="5"/>
        <v>8.3266054050881166E-3</v>
      </c>
      <c r="H50" s="31">
        <f t="shared" si="6"/>
        <v>26.528178978314955</v>
      </c>
    </row>
    <row r="51" spans="1:8">
      <c r="A51" s="24">
        <f t="shared" si="7"/>
        <v>0</v>
      </c>
      <c r="B51" s="24">
        <f t="shared" si="7"/>
        <v>5</v>
      </c>
      <c r="C51" s="24">
        <f t="shared" si="7"/>
        <v>41.716516623281365</v>
      </c>
      <c r="D51" s="30"/>
      <c r="E51" s="3"/>
      <c r="F51" s="51" cm="1">
        <f t="array" ref="F51">PreIncRevEndPoint(A51,$B$10,B51,$B$4,$B$5,$B$6,$B$7,D51,$G$1,$G$2, $G$3)*C51</f>
        <v>100.00000000000001</v>
      </c>
      <c r="G51" t="str">
        <f t="shared" si="5"/>
        <v/>
      </c>
      <c r="H51" s="31" t="str">
        <f t="shared" si="6"/>
        <v/>
      </c>
    </row>
    <row r="52" spans="1:8" s="10" customFormat="1">
      <c r="H52" s="32"/>
    </row>
    <row r="53" spans="1:8">
      <c r="A53" s="9">
        <v>0</v>
      </c>
      <c r="B53" s="8">
        <v>10</v>
      </c>
      <c r="C53" s="40">
        <v>20.868957874364018</v>
      </c>
      <c r="D53" s="30">
        <v>500</v>
      </c>
      <c r="E53" s="8">
        <v>6.8105218443848292</v>
      </c>
      <c r="F53" s="51" cm="1">
        <f t="array" ref="F53">PreIncRevEndPoint(A53,$B$10,B53,$B$4,$B$5,$B$6,$B$7,D53,$G$1,$G$2, $G$3)*C53</f>
        <v>6.8138424820056533</v>
      </c>
      <c r="G53">
        <f t="shared" ref="G53:G64" si="8">IF(E53="", "", E53-F53)</f>
        <v>-3.3206376208241295E-3</v>
      </c>
      <c r="H53" s="31">
        <f t="shared" ref="H53:H64" si="9">IF(E53="", "", E53-AVERAGE($E$14:$E$90))</f>
        <v>-66.64985244638072</v>
      </c>
    </row>
    <row r="54" spans="1:8">
      <c r="A54" s="24">
        <f>IF(A$53="", "", A$53)</f>
        <v>0</v>
      </c>
      <c r="B54" s="24">
        <f>IF(B$53="", "", B$53)</f>
        <v>10</v>
      </c>
      <c r="C54" s="24">
        <f>IF(C$53="", "", C$53)</f>
        <v>20.868957874364018</v>
      </c>
      <c r="D54" s="30">
        <v>166.66666666666666</v>
      </c>
      <c r="E54" s="3">
        <v>17.975870151610128</v>
      </c>
      <c r="F54" s="51" cm="1">
        <f t="array" ref="F54">PreIncRevEndPoint(A54,$B$10,B54,$B$4,$B$5,$B$6,$B$7,D54,$G$1,$G$2, $G$3)*C54</f>
        <v>17.982445594083</v>
      </c>
      <c r="G54">
        <f t="shared" si="8"/>
        <v>-6.5754424728723393E-3</v>
      </c>
      <c r="H54" s="31">
        <f t="shared" si="9"/>
        <v>-55.484504139155419</v>
      </c>
    </row>
    <row r="55" spans="1:8">
      <c r="A55" s="24">
        <f t="shared" ref="A55:C64" si="10">IF(A$53="", "", A$53)</f>
        <v>0</v>
      </c>
      <c r="B55" s="24">
        <f t="shared" si="10"/>
        <v>10</v>
      </c>
      <c r="C55" s="24">
        <f t="shared" si="10"/>
        <v>20.868957874364018</v>
      </c>
      <c r="D55" s="30">
        <v>55.55555555555555</v>
      </c>
      <c r="E55" s="3">
        <v>39.63313772385289</v>
      </c>
      <c r="F55" s="51" cm="1">
        <f t="array" ref="F55">PreIncRevEndPoint(A55,$B$10,B55,$B$4,$B$5,$B$6,$B$7,D55,$G$1,$G$2, $G$3)*C55</f>
        <v>39.638265378851358</v>
      </c>
      <c r="G55">
        <f t="shared" si="8"/>
        <v>-5.1276549984677899E-3</v>
      </c>
      <c r="H55" s="31">
        <f t="shared" si="9"/>
        <v>-33.827236566912653</v>
      </c>
    </row>
    <row r="56" spans="1:8">
      <c r="A56" s="24">
        <f t="shared" si="10"/>
        <v>0</v>
      </c>
      <c r="B56" s="24">
        <f t="shared" si="10"/>
        <v>10</v>
      </c>
      <c r="C56" s="24">
        <f t="shared" si="10"/>
        <v>20.868957874364018</v>
      </c>
      <c r="D56" s="30">
        <v>18.518518518518515</v>
      </c>
      <c r="E56" s="3">
        <v>66.274810505277003</v>
      </c>
      <c r="F56" s="51" cm="1">
        <f t="array" ref="F56">PreIncRevEndPoint(A56,$B$10,B56,$B$4,$B$5,$B$6,$B$7,D56,$G$1,$G$2, $G$3)*C56</f>
        <v>66.264153647736066</v>
      </c>
      <c r="G56">
        <f t="shared" si="8"/>
        <v>1.0656857540936926E-2</v>
      </c>
      <c r="H56" s="31">
        <f t="shared" si="9"/>
        <v>-7.1855637854885401</v>
      </c>
    </row>
    <row r="57" spans="1:8">
      <c r="A57" s="24">
        <f t="shared" si="10"/>
        <v>0</v>
      </c>
      <c r="B57" s="24">
        <f t="shared" si="10"/>
        <v>10</v>
      </c>
      <c r="C57" s="24">
        <f t="shared" si="10"/>
        <v>20.868957874364018</v>
      </c>
      <c r="D57" s="30">
        <v>6.1728395061728385</v>
      </c>
      <c r="E57" s="3">
        <v>85.490325734121569</v>
      </c>
      <c r="F57" s="51" cm="1">
        <f t="array" ref="F57">PreIncRevEndPoint(A57,$B$10,B57,$B$4,$B$5,$B$6,$B$7,D57,$G$1,$G$2, $G$3)*C57</f>
        <v>85.458699931081767</v>
      </c>
      <c r="G57">
        <f t="shared" si="8"/>
        <v>3.1625803039801781E-2</v>
      </c>
      <c r="H57" s="31">
        <f t="shared" si="9"/>
        <v>12.029951443356026</v>
      </c>
    </row>
    <row r="58" spans="1:8">
      <c r="A58" s="24">
        <f t="shared" si="10"/>
        <v>0</v>
      </c>
      <c r="B58" s="24">
        <f t="shared" si="10"/>
        <v>10</v>
      </c>
      <c r="C58" s="24">
        <f t="shared" si="10"/>
        <v>20.868957874364018</v>
      </c>
      <c r="D58" s="30">
        <v>2.0576131687242794</v>
      </c>
      <c r="E58" s="3">
        <v>94.669941294282481</v>
      </c>
      <c r="F58" s="51" cm="1">
        <f t="array" ref="F58">PreIncRevEndPoint(A58,$B$10,B58,$B$4,$B$5,$B$6,$B$7,D58,$G$1,$G$2, $G$3)*C58</f>
        <v>94.625443806610505</v>
      </c>
      <c r="G58">
        <f t="shared" si="8"/>
        <v>4.4497487671975477E-2</v>
      </c>
      <c r="H58" s="31">
        <f t="shared" si="9"/>
        <v>21.209567003516938</v>
      </c>
    </row>
    <row r="59" spans="1:8">
      <c r="A59" s="24">
        <f t="shared" si="10"/>
        <v>0</v>
      </c>
      <c r="B59" s="24">
        <f t="shared" si="10"/>
        <v>10</v>
      </c>
      <c r="C59" s="24">
        <f t="shared" si="10"/>
        <v>20.868957874364018</v>
      </c>
      <c r="D59" s="30">
        <v>0.68587105624142641</v>
      </c>
      <c r="E59" s="3">
        <v>98.190814498237643</v>
      </c>
      <c r="F59" s="51" cm="1">
        <f t="array" ref="F59">PreIncRevEndPoint(A59,$B$10,B59,$B$4,$B$5,$B$6,$B$7,D59,$G$1,$G$2, $G$3)*C59</f>
        <v>98.140886230181735</v>
      </c>
      <c r="G59">
        <f t="shared" si="8"/>
        <v>4.9928268055907665E-2</v>
      </c>
      <c r="H59" s="31">
        <f t="shared" si="9"/>
        <v>24.7304402074721</v>
      </c>
    </row>
    <row r="60" spans="1:8">
      <c r="A60" s="24">
        <f t="shared" si="10"/>
        <v>0</v>
      </c>
      <c r="B60" s="24">
        <f t="shared" si="10"/>
        <v>10</v>
      </c>
      <c r="C60" s="24">
        <f t="shared" si="10"/>
        <v>20.868957874364018</v>
      </c>
      <c r="D60" s="30">
        <v>0.22862368541380881</v>
      </c>
      <c r="E60" s="3">
        <v>99.424290611566789</v>
      </c>
      <c r="F60" s="51" cm="1">
        <f t="array" ref="F60">PreIncRevEndPoint(A60,$B$10,B60,$B$4,$B$5,$B$6,$B$7,D60,$G$1,$G$2, $G$3)*C60</f>
        <v>99.372394687576772</v>
      </c>
      <c r="G60">
        <f t="shared" si="8"/>
        <v>5.1895923990016968E-2</v>
      </c>
      <c r="H60" s="31">
        <f t="shared" si="9"/>
        <v>25.963916320801246</v>
      </c>
    </row>
    <row r="61" spans="1:8">
      <c r="A61" s="24">
        <f t="shared" si="10"/>
        <v>0</v>
      </c>
      <c r="B61" s="24">
        <f t="shared" si="10"/>
        <v>10</v>
      </c>
      <c r="C61" s="24">
        <f t="shared" si="10"/>
        <v>20.868957874364018</v>
      </c>
      <c r="D61" s="30">
        <v>7.6207895137936271E-2</v>
      </c>
      <c r="E61" s="3">
        <v>99.84247578425564</v>
      </c>
      <c r="F61" s="51" cm="1">
        <f t="array" ref="F61">PreIncRevEndPoint(A61,$B$10,B61,$B$4,$B$5,$B$6,$B$7,D61,$G$1,$G$2, $G$3)*C61</f>
        <v>99.789905085931096</v>
      </c>
      <c r="G61">
        <f t="shared" si="8"/>
        <v>5.2570698324544196E-2</v>
      </c>
      <c r="H61" s="31">
        <f t="shared" si="9"/>
        <v>26.382101493490097</v>
      </c>
    </row>
    <row r="62" spans="1:8">
      <c r="A62" s="24">
        <f t="shared" si="10"/>
        <v>0</v>
      </c>
      <c r="B62" s="24">
        <f t="shared" si="10"/>
        <v>10</v>
      </c>
      <c r="C62" s="24">
        <f t="shared" si="10"/>
        <v>20.868957874364018</v>
      </c>
      <c r="D62" s="30">
        <v>2.5402631712645424E-2</v>
      </c>
      <c r="E62" s="3">
        <v>99.982666324531195</v>
      </c>
      <c r="F62" s="51" cm="1">
        <f t="array" ref="F62">PreIncRevEndPoint(A62,$B$10,B62,$B$4,$B$5,$B$6,$B$7,D62,$G$1,$G$2, $G$3)*C62</f>
        <v>99.929868546787333</v>
      </c>
      <c r="G62">
        <f t="shared" si="8"/>
        <v>5.2797777743862184E-2</v>
      </c>
      <c r="H62" s="31">
        <f t="shared" si="9"/>
        <v>26.522292033765652</v>
      </c>
    </row>
    <row r="63" spans="1:8">
      <c r="A63" s="24">
        <f t="shared" si="10"/>
        <v>0</v>
      </c>
      <c r="B63" s="24">
        <f t="shared" si="10"/>
        <v>10</v>
      </c>
      <c r="C63" s="24">
        <f t="shared" si="10"/>
        <v>20.868957874364018</v>
      </c>
      <c r="D63" s="30">
        <v>8.4675439042151412E-3</v>
      </c>
      <c r="E63" s="3">
        <v>100.02948544925275</v>
      </c>
      <c r="F63" s="51" cm="1">
        <f t="array" ref="F63">PreIncRevEndPoint(A63,$B$10,B63,$B$4,$B$5,$B$6,$B$7,D63,$G$1,$G$2, $G$3)*C63</f>
        <v>99.976611736842585</v>
      </c>
      <c r="G63">
        <f t="shared" si="8"/>
        <v>5.2873712410161033E-2</v>
      </c>
      <c r="H63" s="31">
        <f t="shared" si="9"/>
        <v>26.569111158487203</v>
      </c>
    </row>
    <row r="64" spans="1:8">
      <c r="A64" s="24">
        <f t="shared" si="10"/>
        <v>0</v>
      </c>
      <c r="B64" s="24">
        <f t="shared" si="10"/>
        <v>10</v>
      </c>
      <c r="C64" s="24">
        <f t="shared" si="10"/>
        <v>20.868957874364018</v>
      </c>
      <c r="D64" s="30"/>
      <c r="E64" s="3"/>
      <c r="F64" s="51" cm="1">
        <f t="array" ref="F64">PreIncRevEndPoint(A64,$B$10,B64,$B$4,$B$5,$B$6,$B$7,D64,$G$1,$G$2, $G$3)*C64</f>
        <v>99.999999999999986</v>
      </c>
      <c r="G64" t="str">
        <f t="shared" si="8"/>
        <v/>
      </c>
      <c r="H64" s="31" t="str">
        <f t="shared" si="9"/>
        <v/>
      </c>
    </row>
    <row r="65" spans="1:8" s="10" customFormat="1">
      <c r="H65" s="32"/>
    </row>
    <row r="66" spans="1:8">
      <c r="A66" s="9">
        <v>0</v>
      </c>
      <c r="B66" s="8">
        <v>20</v>
      </c>
      <c r="C66" s="40">
        <v>10.446364206231095</v>
      </c>
      <c r="D66" s="30">
        <v>500</v>
      </c>
      <c r="E66" s="8">
        <v>5.5365512182200414</v>
      </c>
      <c r="F66" s="51" cm="1">
        <f t="array" ref="F66">PreIncRevEndPoint(A66,$B$10,B66,$B$4,$B$5,$B$6,$B$7,D66,$G$1,$G$2, $G$3)*C66</f>
        <v>5.5401736834404307</v>
      </c>
      <c r="G66">
        <f t="shared" ref="G66:G77" si="11">IF(E66="", "", E66-F66)</f>
        <v>-3.622465220389337E-3</v>
      </c>
      <c r="H66" s="31">
        <f t="shared" ref="H66:H77" si="12">IF(E66="", "", E66-AVERAGE($E$14:$E$90))</f>
        <v>-67.923823072545503</v>
      </c>
    </row>
    <row r="67" spans="1:8">
      <c r="A67" s="24">
        <f>IF(A$66="", "", A$66)</f>
        <v>0</v>
      </c>
      <c r="B67" s="24">
        <f>IF(B$66="", "", B$66)</f>
        <v>20</v>
      </c>
      <c r="C67" s="24">
        <f>IF(C$66="", "", C$66)</f>
        <v>10.446364206231095</v>
      </c>
      <c r="D67" s="30">
        <v>166.66666666666666</v>
      </c>
      <c r="E67" s="3">
        <v>14.932564548060196</v>
      </c>
      <c r="F67" s="51" cm="1">
        <f t="array" ref="F67">PreIncRevEndPoint(A67,$B$10,B67,$B$4,$B$5,$B$6,$B$7,D67,$G$1,$G$2, $G$3)*C67</f>
        <v>14.940847846179079</v>
      </c>
      <c r="G67">
        <f t="shared" si="11"/>
        <v>-8.2832981188829535E-3</v>
      </c>
      <c r="H67" s="31">
        <f t="shared" si="12"/>
        <v>-58.527809742705344</v>
      </c>
    </row>
    <row r="68" spans="1:8">
      <c r="A68" s="24">
        <f t="shared" ref="A68:C77" si="13">IF(A$66="", "", A$66)</f>
        <v>0</v>
      </c>
      <c r="B68" s="24">
        <f t="shared" si="13"/>
        <v>20</v>
      </c>
      <c r="C68" s="24">
        <f t="shared" si="13"/>
        <v>10.446364206231095</v>
      </c>
      <c r="D68" s="30">
        <v>55.55555555555555</v>
      </c>
      <c r="E68" s="3">
        <v>34.396979751294118</v>
      </c>
      <c r="F68" s="51" cm="1">
        <f t="array" ref="F68">PreIncRevEndPoint(A68,$B$10,B68,$B$4,$B$5,$B$6,$B$7,D68,$G$1,$G$2, $G$3)*C68</f>
        <v>34.408951767432896</v>
      </c>
      <c r="G68">
        <f t="shared" si="11"/>
        <v>-1.1972016138777519E-2</v>
      </c>
      <c r="H68" s="31">
        <f t="shared" si="12"/>
        <v>-39.063394539471425</v>
      </c>
    </row>
    <row r="69" spans="1:8">
      <c r="A69" s="24">
        <f t="shared" si="13"/>
        <v>0</v>
      </c>
      <c r="B69" s="24">
        <f t="shared" si="13"/>
        <v>20</v>
      </c>
      <c r="C69" s="24">
        <f t="shared" si="13"/>
        <v>10.446364206231095</v>
      </c>
      <c r="D69" s="30">
        <v>18.518518518518515</v>
      </c>
      <c r="E69" s="3">
        <v>60.954164444578943</v>
      </c>
      <c r="F69" s="51" cm="1">
        <f t="array" ref="F69">PreIncRevEndPoint(A69,$B$10,B69,$B$4,$B$5,$B$6,$B$7,D69,$G$1,$G$2, $G$3)*C69</f>
        <v>60.958246285834711</v>
      </c>
      <c r="G69">
        <f t="shared" si="11"/>
        <v>-4.0818412557683814E-3</v>
      </c>
      <c r="H69" s="31">
        <f t="shared" si="12"/>
        <v>-12.5062098461866</v>
      </c>
    </row>
    <row r="70" spans="1:8">
      <c r="A70" s="24">
        <f t="shared" si="13"/>
        <v>0</v>
      </c>
      <c r="B70" s="24">
        <f t="shared" si="13"/>
        <v>20</v>
      </c>
      <c r="C70" s="24">
        <f t="shared" si="13"/>
        <v>10.446364206231095</v>
      </c>
      <c r="D70" s="30">
        <v>6.1728395061728385</v>
      </c>
      <c r="E70" s="3">
        <v>82.308468868173591</v>
      </c>
      <c r="F70" s="51" cm="1">
        <f t="array" ref="F70">PreIncRevEndPoint(A70,$B$10,B70,$B$4,$B$5,$B$6,$B$7,D70,$G$1,$G$2, $G$3)*C70</f>
        <v>82.295389932710322</v>
      </c>
      <c r="G70">
        <f t="shared" si="11"/>
        <v>1.3078935463269659E-2</v>
      </c>
      <c r="H70" s="31">
        <f t="shared" si="12"/>
        <v>8.8480945774080482</v>
      </c>
    </row>
    <row r="71" spans="1:8">
      <c r="A71" s="24">
        <f t="shared" si="13"/>
        <v>0</v>
      </c>
      <c r="B71" s="24">
        <f t="shared" si="13"/>
        <v>20</v>
      </c>
      <c r="C71" s="24">
        <f t="shared" si="13"/>
        <v>10.446364206231095</v>
      </c>
      <c r="D71" s="30">
        <v>2.0576131687242794</v>
      </c>
      <c r="E71" s="3">
        <v>93.307174166233196</v>
      </c>
      <c r="F71" s="51" cm="1">
        <f t="array" ref="F71">PreIncRevEndPoint(A71,$B$10,B71,$B$4,$B$5,$B$6,$B$7,D71,$G$1,$G$2, $G$3)*C71</f>
        <v>93.281430842606156</v>
      </c>
      <c r="G71">
        <f t="shared" si="11"/>
        <v>2.5743323627040127E-2</v>
      </c>
      <c r="H71" s="31">
        <f t="shared" si="12"/>
        <v>19.846799875467653</v>
      </c>
    </row>
    <row r="72" spans="1:8">
      <c r="A72" s="24">
        <f t="shared" si="13"/>
        <v>0</v>
      </c>
      <c r="B72" s="24">
        <f t="shared" si="13"/>
        <v>20</v>
      </c>
      <c r="C72" s="24">
        <f t="shared" si="13"/>
        <v>10.446364206231095</v>
      </c>
      <c r="D72" s="30">
        <v>0.68587105624142641</v>
      </c>
      <c r="E72" s="3">
        <v>97.682851564095543</v>
      </c>
      <c r="F72" s="51" cm="1">
        <f t="array" ref="F72">PreIncRevEndPoint(A72,$B$10,B72,$B$4,$B$5,$B$6,$B$7,D72,$G$1,$G$2, $G$3)*C72</f>
        <v>97.651329861771856</v>
      </c>
      <c r="G72">
        <f t="shared" si="11"/>
        <v>3.1521702323686895E-2</v>
      </c>
      <c r="H72" s="31">
        <f t="shared" si="12"/>
        <v>24.22247727333</v>
      </c>
    </row>
    <row r="73" spans="1:8">
      <c r="A73" s="24">
        <f t="shared" si="13"/>
        <v>0</v>
      </c>
      <c r="B73" s="24">
        <f t="shared" si="13"/>
        <v>20</v>
      </c>
      <c r="C73" s="24">
        <f t="shared" si="13"/>
        <v>10.446364206231095</v>
      </c>
      <c r="D73" s="30">
        <v>0.22862368541380881</v>
      </c>
      <c r="E73" s="3">
        <v>99.237821221832718</v>
      </c>
      <c r="F73" s="51" cm="1">
        <f t="array" ref="F73">PreIncRevEndPoint(A73,$B$10,B73,$B$4,$B$5,$B$6,$B$7,D73,$G$1,$G$2, $G$3)*C73</f>
        <v>99.204143128409697</v>
      </c>
      <c r="G73">
        <f t="shared" si="11"/>
        <v>3.3678093423020528E-2</v>
      </c>
      <c r="H73" s="31">
        <f t="shared" si="12"/>
        <v>25.777446931067175</v>
      </c>
    </row>
    <row r="74" spans="1:8">
      <c r="A74" s="24">
        <f t="shared" si="13"/>
        <v>0</v>
      </c>
      <c r="B74" s="24">
        <f t="shared" si="13"/>
        <v>20</v>
      </c>
      <c r="C74" s="24">
        <f t="shared" si="13"/>
        <v>10.446364206231095</v>
      </c>
      <c r="D74" s="30">
        <v>7.6207895137936271E-2</v>
      </c>
      <c r="E74" s="3">
        <v>99.767665345422103</v>
      </c>
      <c r="F74" s="51" cm="1">
        <f t="array" ref="F74">PreIncRevEndPoint(A74,$B$10,B74,$B$4,$B$5,$B$6,$B$7,D74,$G$1,$G$2, $G$3)*C74</f>
        <v>99.733240067676604</v>
      </c>
      <c r="G74">
        <f t="shared" si="11"/>
        <v>3.4425277745498306E-2</v>
      </c>
      <c r="H74" s="31">
        <f t="shared" si="12"/>
        <v>26.307291054656559</v>
      </c>
    </row>
    <row r="75" spans="1:8">
      <c r="A75" s="24">
        <f t="shared" si="13"/>
        <v>0</v>
      </c>
      <c r="B75" s="24">
        <f t="shared" si="13"/>
        <v>20</v>
      </c>
      <c r="C75" s="24">
        <f t="shared" si="13"/>
        <v>10.446364206231095</v>
      </c>
      <c r="D75" s="30">
        <v>2.5402631712645424E-2</v>
      </c>
      <c r="E75" s="3">
        <v>99.945592543134694</v>
      </c>
      <c r="F75" s="51" cm="1">
        <f t="array" ref="F75">PreIncRevEndPoint(A75,$B$10,B75,$B$4,$B$5,$B$6,$B$7,D75,$G$1,$G$2, $G$3)*C75</f>
        <v>99.910914934922133</v>
      </c>
      <c r="G75">
        <f t="shared" si="11"/>
        <v>3.4677608212561495E-2</v>
      </c>
      <c r="H75" s="31">
        <f t="shared" si="12"/>
        <v>26.485218252369151</v>
      </c>
    </row>
    <row r="76" spans="1:8">
      <c r="A76" s="24">
        <f t="shared" si="13"/>
        <v>0</v>
      </c>
      <c r="B76" s="24">
        <f t="shared" si="13"/>
        <v>20</v>
      </c>
      <c r="C76" s="24">
        <f t="shared" si="13"/>
        <v>10.446364206231095</v>
      </c>
      <c r="D76" s="30">
        <v>8.4675439042151412E-3</v>
      </c>
      <c r="E76" s="3">
        <v>100.00504867357368</v>
      </c>
      <c r="F76" s="51" cm="1">
        <f t="array" ref="F76">PreIncRevEndPoint(A76,$B$10,B76,$B$4,$B$5,$B$6,$B$7,D76,$G$1,$G$2, $G$3)*C76</f>
        <v>99.970286587573796</v>
      </c>
      <c r="G76">
        <f t="shared" si="11"/>
        <v>3.4762085999886949E-2</v>
      </c>
      <c r="H76" s="31">
        <f t="shared" si="12"/>
        <v>26.54467438280814</v>
      </c>
    </row>
    <row r="77" spans="1:8">
      <c r="A77" s="24">
        <f t="shared" si="13"/>
        <v>0</v>
      </c>
      <c r="B77" s="24">
        <f t="shared" si="13"/>
        <v>20</v>
      </c>
      <c r="C77" s="24">
        <f t="shared" si="13"/>
        <v>10.446364206231095</v>
      </c>
      <c r="D77" s="30"/>
      <c r="E77" s="3"/>
      <c r="F77" s="51" cm="1">
        <f t="array" ref="F77">PreIncRevEndPoint(A77,$B$10,B77,$B$4,$B$5,$B$6,$B$7,D77,$G$1,$G$2, $G$3)*C77</f>
        <v>100</v>
      </c>
      <c r="G77" t="str">
        <f t="shared" si="11"/>
        <v/>
      </c>
      <c r="H77" s="31" t="str">
        <f t="shared" si="12"/>
        <v/>
      </c>
    </row>
    <row r="78" spans="1:8" s="10" customFormat="1">
      <c r="H78" s="32"/>
    </row>
    <row r="79" spans="1:8">
      <c r="A79" s="9">
        <v>0</v>
      </c>
      <c r="B79" s="9">
        <v>50</v>
      </c>
      <c r="C79" s="40">
        <v>4.1985551068186728</v>
      </c>
      <c r="D79" s="30">
        <v>500</v>
      </c>
      <c r="E79" s="8">
        <v>4.3333242555588214</v>
      </c>
      <c r="F79" s="51" cm="1">
        <f t="array" ref="F79">PreIncRevEndPoint(A79,$B$10,B79,$B$4,$B$5,$B$6,$B$7,D79,$G$1,$G$2, $G$3)*C79</f>
        <v>4.3359683140687739</v>
      </c>
      <c r="G79">
        <f t="shared" ref="G79:G90" si="14">IF(E79="", "", E79-F79)</f>
        <v>-2.6440585099525293E-3</v>
      </c>
      <c r="H79" s="31">
        <f>IF(E79="", "", E79-AVERAGE($E$14:$E$90))</f>
        <v>-69.127050035206722</v>
      </c>
    </row>
    <row r="80" spans="1:8">
      <c r="A80" s="24">
        <f>IF(A$79="", "", A$79)</f>
        <v>0</v>
      </c>
      <c r="B80" s="24">
        <f>IF(B$79="", "", B$79)</f>
        <v>50</v>
      </c>
      <c r="C80" s="41">
        <f>IF(C$79="", "", C$79)</f>
        <v>4.1985551068186728</v>
      </c>
      <c r="D80" s="30">
        <v>166.66666666666666</v>
      </c>
      <c r="E80" s="3">
        <v>11.818056495089863</v>
      </c>
      <c r="F80" s="51" cm="1">
        <f t="array" ref="F80">PreIncRevEndPoint(A80,$B$10,B80,$B$4,$B$5,$B$6,$B$7,D80,$G$1,$G$2, $G$3)*C80</f>
        <v>11.824283010644256</v>
      </c>
      <c r="G80">
        <f t="shared" si="14"/>
        <v>-6.2265155543936856E-3</v>
      </c>
      <c r="H80" s="31">
        <f t="shared" ref="H80:H90" si="15">IF(E80="", "", E80-AVERAGE($E$14:$E$90))</f>
        <v>-61.64231779567568</v>
      </c>
    </row>
    <row r="81" spans="1:8">
      <c r="A81" s="24">
        <f t="shared" ref="A81:C90" si="16">IF(A$79="", "", A$79)</f>
        <v>0</v>
      </c>
      <c r="B81" s="24">
        <f t="shared" si="16"/>
        <v>50</v>
      </c>
      <c r="C81" s="41">
        <f t="shared" si="16"/>
        <v>4.1985551068186728</v>
      </c>
      <c r="D81" s="30">
        <v>55.55555555555555</v>
      </c>
      <c r="E81" s="3">
        <v>28.058015880511693</v>
      </c>
      <c r="F81" s="51" cm="1">
        <f t="array" ref="F81">PreIncRevEndPoint(A81,$B$10,B81,$B$4,$B$5,$B$6,$B$7,D81,$G$1,$G$2, $G$3)*C81</f>
        <v>28.068011709582198</v>
      </c>
      <c r="G81">
        <f t="shared" si="14"/>
        <v>-9.9958290705046693E-3</v>
      </c>
      <c r="H81" s="31">
        <f t="shared" si="15"/>
        <v>-45.402358410253854</v>
      </c>
    </row>
    <row r="82" spans="1:8">
      <c r="A82" s="24">
        <f t="shared" si="16"/>
        <v>0</v>
      </c>
      <c r="B82" s="24">
        <f t="shared" si="16"/>
        <v>50</v>
      </c>
      <c r="C82" s="41">
        <f t="shared" si="16"/>
        <v>4.1985551068186728</v>
      </c>
      <c r="D82" s="30">
        <v>18.518518518518515</v>
      </c>
      <c r="E82" s="3">
        <v>52.726070061327377</v>
      </c>
      <c r="F82" s="51" cm="1">
        <f t="array" ref="F82">PreIncRevEndPoint(A82,$B$10,B82,$B$4,$B$5,$B$6,$B$7,D82,$G$1,$G$2, $G$3)*C82</f>
        <v>52.732079673827485</v>
      </c>
      <c r="G82">
        <f t="shared" si="14"/>
        <v>-6.0096125001081191E-3</v>
      </c>
      <c r="H82" s="31">
        <f t="shared" si="15"/>
        <v>-20.734304229438166</v>
      </c>
    </row>
    <row r="83" spans="1:8">
      <c r="A83" s="24">
        <f t="shared" si="16"/>
        <v>0</v>
      </c>
      <c r="B83" s="24">
        <f t="shared" si="16"/>
        <v>50</v>
      </c>
      <c r="C83" s="41">
        <f t="shared" si="16"/>
        <v>4.1985551068186728</v>
      </c>
      <c r="D83" s="30">
        <v>6.1728395061728385</v>
      </c>
      <c r="E83" s="3">
        <v>76.127353215415198</v>
      </c>
      <c r="F83" s="51" cm="1">
        <f t="array" ref="F83">PreIncRevEndPoint(A83,$B$10,B83,$B$4,$B$5,$B$6,$B$7,D83,$G$1,$G$2, $G$3)*C83</f>
        <v>76.119072383353668</v>
      </c>
      <c r="G83">
        <f t="shared" si="14"/>
        <v>8.2808320615299635E-3</v>
      </c>
      <c r="H83" s="31">
        <f t="shared" si="15"/>
        <v>2.6669789246496549</v>
      </c>
    </row>
    <row r="84" spans="1:8">
      <c r="A84" s="24">
        <f t="shared" si="16"/>
        <v>0</v>
      </c>
      <c r="B84" s="24">
        <f t="shared" si="16"/>
        <v>50</v>
      </c>
      <c r="C84" s="41">
        <f t="shared" si="16"/>
        <v>4.1985551068186728</v>
      </c>
      <c r="D84" s="30">
        <v>2.0576131687242794</v>
      </c>
      <c r="E84" s="3">
        <v>90.280620774331609</v>
      </c>
      <c r="F84" s="51" cm="1">
        <f t="array" ref="F84">PreIncRevEndPoint(A84,$B$10,B84,$B$4,$B$5,$B$6,$B$7,D84,$G$1,$G$2, $G$3)*C84</f>
        <v>90.258423119931237</v>
      </c>
      <c r="G84">
        <f t="shared" si="14"/>
        <v>2.2197654400372357E-2</v>
      </c>
      <c r="H84" s="31">
        <f t="shared" si="15"/>
        <v>16.820246483566066</v>
      </c>
    </row>
    <row r="85" spans="1:8">
      <c r="A85" s="24">
        <f t="shared" si="16"/>
        <v>0</v>
      </c>
      <c r="B85" s="24">
        <f t="shared" si="16"/>
        <v>50</v>
      </c>
      <c r="C85" s="41">
        <f t="shared" si="16"/>
        <v>4.1985551068186728</v>
      </c>
      <c r="D85" s="30">
        <v>0.68587105624142641</v>
      </c>
      <c r="E85" s="3">
        <v>96.50812069995996</v>
      </c>
      <c r="F85" s="51" cm="1">
        <f t="array" ref="F85">PreIncRevEndPoint(A85,$B$10,B85,$B$4,$B$5,$B$6,$B$7,D85,$G$1,$G$2, $G$3)*C85</f>
        <v>96.478391156141669</v>
      </c>
      <c r="G85">
        <f t="shared" si="14"/>
        <v>2.9729543818291404E-2</v>
      </c>
      <c r="H85" s="31">
        <f t="shared" si="15"/>
        <v>23.047746409194417</v>
      </c>
    </row>
    <row r="86" spans="1:8">
      <c r="A86" s="24">
        <f t="shared" si="16"/>
        <v>0</v>
      </c>
      <c r="B86" s="24">
        <f t="shared" si="16"/>
        <v>50</v>
      </c>
      <c r="C86" s="41">
        <f t="shared" si="16"/>
        <v>4.1985551068186728</v>
      </c>
      <c r="D86" s="30">
        <v>0.22862368541380881</v>
      </c>
      <c r="E86" s="3">
        <v>98.824140513741895</v>
      </c>
      <c r="F86" s="51" cm="1">
        <f t="array" ref="F86">PreIncRevEndPoint(A86,$B$10,B86,$B$4,$B$5,$B$6,$B$7,D86,$G$1,$G$2, $G$3)*C86</f>
        <v>98.791369865185672</v>
      </c>
      <c r="G86">
        <f t="shared" si="14"/>
        <v>3.2770648556223136E-2</v>
      </c>
      <c r="H86" s="31">
        <f t="shared" si="15"/>
        <v>25.363766222976352</v>
      </c>
    </row>
    <row r="87" spans="1:8">
      <c r="A87" s="24">
        <f t="shared" si="16"/>
        <v>0</v>
      </c>
      <c r="B87" s="24">
        <f t="shared" si="16"/>
        <v>50</v>
      </c>
      <c r="C87" s="41">
        <f t="shared" si="16"/>
        <v>4.1985551068186728</v>
      </c>
      <c r="D87" s="30">
        <v>7.6207895137936271E-2</v>
      </c>
      <c r="E87" s="3">
        <v>99.626931109382497</v>
      </c>
      <c r="F87" s="51" cm="1">
        <f t="array" ref="F87">PreIncRevEndPoint(A87,$B$10,B87,$B$4,$B$5,$B$6,$B$7,D87,$G$1,$G$2, $G$3)*C87</f>
        <v>99.593074589672028</v>
      </c>
      <c r="G87">
        <f t="shared" si="14"/>
        <v>3.3856519710468547E-2</v>
      </c>
      <c r="H87" s="31">
        <f t="shared" si="15"/>
        <v>26.166556818616954</v>
      </c>
    </row>
    <row r="88" spans="1:8">
      <c r="A88" s="24">
        <f t="shared" si="16"/>
        <v>0</v>
      </c>
      <c r="B88" s="24">
        <f t="shared" si="16"/>
        <v>50</v>
      </c>
      <c r="C88" s="41">
        <f t="shared" si="16"/>
        <v>4.1985551068186728</v>
      </c>
      <c r="D88" s="30">
        <v>2.5402631712645424E-2</v>
      </c>
      <c r="E88" s="3">
        <v>99.898128120473686</v>
      </c>
      <c r="F88" s="51" cm="1">
        <f t="array" ref="F88">PreIncRevEndPoint(A88,$B$10,B88,$B$4,$B$5,$B$6,$B$7,D88,$G$1,$G$2, $G$3)*C88</f>
        <v>99.863901015747388</v>
      </c>
      <c r="G88">
        <f t="shared" si="14"/>
        <v>3.4227104726298307E-2</v>
      </c>
      <c r="H88" s="31">
        <f t="shared" si="15"/>
        <v>26.437753829708143</v>
      </c>
    </row>
    <row r="89" spans="1:8">
      <c r="A89" s="24">
        <f t="shared" si="16"/>
        <v>0</v>
      </c>
      <c r="B89" s="24">
        <f t="shared" si="16"/>
        <v>50</v>
      </c>
      <c r="C89" s="41">
        <f t="shared" si="16"/>
        <v>4.1985551068186728</v>
      </c>
      <c r="D89" s="30">
        <v>8.4675439042151412E-3</v>
      </c>
      <c r="E89" s="3">
        <v>99.988934213317393</v>
      </c>
      <c r="F89" s="51" cm="1">
        <f t="array" ref="F89">PreIncRevEndPoint(A89,$B$10,B89,$B$4,$B$5,$B$6,$B$7,D89,$G$1,$G$2, $G$3)*C89</f>
        <v>99.954582597177151</v>
      </c>
      <c r="G89">
        <f t="shared" si="14"/>
        <v>3.4351616140241958E-2</v>
      </c>
      <c r="H89" s="31">
        <f t="shared" si="15"/>
        <v>26.52855992255185</v>
      </c>
    </row>
    <row r="90" spans="1:8">
      <c r="A90" s="24">
        <f t="shared" si="16"/>
        <v>0</v>
      </c>
      <c r="B90" s="24">
        <f t="shared" si="16"/>
        <v>50</v>
      </c>
      <c r="C90" s="41">
        <f t="shared" si="16"/>
        <v>4.1985551068186728</v>
      </c>
      <c r="D90" s="30"/>
      <c r="E90" s="3"/>
      <c r="F90" s="51" cm="1">
        <f t="array" ref="F90">PreIncRevEndPoint(A90,$B$10,B90,$B$4,$B$5,$B$6,$B$7,D90,$G$1,$G$2, $G$3)*C90</f>
        <v>100</v>
      </c>
      <c r="G90" t="str">
        <f t="shared" si="14"/>
        <v/>
      </c>
      <c r="H90" s="31" t="str">
        <f t="shared" si="15"/>
        <v/>
      </c>
    </row>
  </sheetData>
  <mergeCells count="1">
    <mergeCell ref="D6:E6"/>
  </mergeCells>
  <pageMargins left="0.7" right="0.7" top="0.75" bottom="0.75" header="0.3" footer="0.3"/>
  <pageSetup orientation="portrait" horizontalDpi="0" verticalDpi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A6A25-87F8-CA4C-9193-FD16C8A093D3}">
  <sheetPr codeName="Sheet3">
    <pageSetUpPr fitToPage="1"/>
  </sheetPr>
  <dimension ref="A1:J56"/>
  <sheetViews>
    <sheetView showGridLines="0" zoomScaleNormal="100" workbookViewId="0">
      <selection activeCell="D58" sqref="D58"/>
    </sheetView>
  </sheetViews>
  <sheetFormatPr baseColWidth="10" defaultColWidth="11.140625" defaultRowHeight="16"/>
  <cols>
    <col min="1" max="1" width="16.28515625" customWidth="1"/>
    <col min="2" max="2" width="19.7109375" bestFit="1" customWidth="1"/>
    <col min="3" max="3" width="18.85546875" customWidth="1"/>
    <col min="4" max="4" width="12.28515625" customWidth="1"/>
    <col min="5" max="5" width="8.140625" customWidth="1"/>
    <col min="6" max="6" width="18.140625" customWidth="1"/>
    <col min="7" max="7" width="22.7109375" customWidth="1"/>
    <col min="9" max="9" width="10.7109375" customWidth="1"/>
    <col min="10" max="10" width="4.7109375" customWidth="1"/>
  </cols>
  <sheetData>
    <row r="1" spans="1:10" ht="18">
      <c r="B1" s="2" t="s">
        <v>13</v>
      </c>
      <c r="C1" s="26" t="str">
        <f>Data!B1</f>
        <v>inhibitor</v>
      </c>
      <c r="G1" s="11" t="s">
        <v>65</v>
      </c>
      <c r="H1" s="36">
        <f>Data!G1</f>
        <v>1.0011128947020116</v>
      </c>
    </row>
    <row r="2" spans="1:10" ht="18">
      <c r="B2" s="2" t="s">
        <v>10</v>
      </c>
      <c r="C2" s="27" t="str">
        <f>Data!B2</f>
        <v>date</v>
      </c>
      <c r="G2" s="11" t="s">
        <v>66</v>
      </c>
      <c r="H2" s="36">
        <f>Data!G2</f>
        <v>0.10000189671049739</v>
      </c>
    </row>
    <row r="3" spans="1:10" ht="18">
      <c r="B3" s="4" t="s">
        <v>11</v>
      </c>
      <c r="C3" s="28">
        <f>Data!B4</f>
        <v>50</v>
      </c>
      <c r="G3" s="11" t="s">
        <v>67</v>
      </c>
      <c r="H3" s="29">
        <f>Data!G3</f>
        <v>4.9987446928743719E-2</v>
      </c>
    </row>
    <row r="4" spans="1:10" ht="18">
      <c r="B4" s="4" t="s">
        <v>12</v>
      </c>
      <c r="C4" s="28">
        <f>Data!B5</f>
        <v>0.05</v>
      </c>
      <c r="G4" s="11" t="s">
        <v>21</v>
      </c>
      <c r="H4" s="29">
        <f>Data!I11</f>
        <v>0.99999929871866799</v>
      </c>
    </row>
    <row r="5" spans="1:10">
      <c r="G5" s="11" t="s">
        <v>20</v>
      </c>
      <c r="H5" s="36">
        <f>Data!J11</f>
        <v>2.8640970626729021E-2</v>
      </c>
    </row>
    <row r="7" spans="1:10">
      <c r="A7" s="13"/>
      <c r="B7" s="14" t="str">
        <f>_xlfn.CONCAT("Pre-inc time : ",Data!$A$14," min")</f>
        <v>Pre-inc time : 0 min</v>
      </c>
      <c r="C7" s="14" t="str">
        <f>_xlfn.CONCAT("Inc time : ",Data!$B$14," min")</f>
        <v>Inc time : 1 min</v>
      </c>
      <c r="D7" s="13"/>
      <c r="F7" s="15"/>
      <c r="G7" s="16" t="str">
        <f>_xlfn.CONCAT("Pre-inc time : ",Data!$A$27," min")</f>
        <v>Pre-inc time : 0 min</v>
      </c>
      <c r="H7" s="16" t="str">
        <f>_xlfn.CONCAT("Inc time : ",Data!$B$27," min")</f>
        <v>Inc time : 2 min</v>
      </c>
      <c r="I7" s="15"/>
      <c r="J7" s="15"/>
    </row>
    <row r="8" spans="1:10">
      <c r="A8" s="13"/>
      <c r="B8" s="13"/>
      <c r="C8" s="13"/>
      <c r="D8" s="13"/>
      <c r="F8" s="15"/>
      <c r="G8" s="15"/>
      <c r="H8" s="15"/>
      <c r="I8" s="15"/>
      <c r="J8" s="15"/>
    </row>
    <row r="9" spans="1:10">
      <c r="A9" s="13"/>
      <c r="B9" s="13"/>
      <c r="C9" s="13"/>
      <c r="D9" s="13"/>
      <c r="F9" s="15"/>
      <c r="G9" s="15"/>
      <c r="H9" s="15"/>
      <c r="I9" s="15"/>
      <c r="J9" s="15"/>
    </row>
    <row r="10" spans="1:10">
      <c r="A10" s="13"/>
      <c r="B10" s="13"/>
      <c r="C10" s="13"/>
      <c r="D10" s="13"/>
      <c r="F10" s="15"/>
      <c r="G10" s="15"/>
      <c r="H10" s="15"/>
      <c r="I10" s="15"/>
      <c r="J10" s="15"/>
    </row>
    <row r="11" spans="1:10">
      <c r="A11" s="13"/>
      <c r="B11" s="13"/>
      <c r="C11" s="13"/>
      <c r="D11" s="13"/>
      <c r="F11" s="15"/>
      <c r="G11" s="15"/>
      <c r="H11" s="15"/>
      <c r="I11" s="15"/>
      <c r="J11" s="15"/>
    </row>
    <row r="12" spans="1:10">
      <c r="A12" s="13"/>
      <c r="B12" s="13"/>
      <c r="C12" s="13"/>
      <c r="D12" s="13"/>
      <c r="F12" s="15"/>
      <c r="G12" s="15"/>
      <c r="H12" s="15"/>
      <c r="I12" s="15"/>
      <c r="J12" s="15"/>
    </row>
    <row r="13" spans="1:10">
      <c r="A13" s="13"/>
      <c r="B13" s="13"/>
      <c r="C13" s="13"/>
      <c r="D13" s="13"/>
      <c r="F13" s="15"/>
      <c r="G13" s="15"/>
      <c r="H13" s="15"/>
      <c r="I13" s="15"/>
      <c r="J13" s="15"/>
    </row>
    <row r="14" spans="1:10">
      <c r="A14" s="13"/>
      <c r="B14" s="13"/>
      <c r="C14" s="13"/>
      <c r="D14" s="13"/>
      <c r="F14" s="15"/>
      <c r="G14" s="15"/>
      <c r="H14" s="15"/>
      <c r="I14" s="15"/>
      <c r="J14" s="15"/>
    </row>
    <row r="15" spans="1:10">
      <c r="A15" s="13"/>
      <c r="B15" s="13"/>
      <c r="C15" s="13"/>
      <c r="D15" s="13"/>
      <c r="F15" s="15"/>
      <c r="G15" s="15"/>
      <c r="H15" s="15"/>
      <c r="I15" s="15"/>
      <c r="J15" s="15"/>
    </row>
    <row r="16" spans="1:10">
      <c r="A16" s="13"/>
      <c r="B16" s="13"/>
      <c r="C16" s="13"/>
      <c r="D16" s="13"/>
      <c r="F16" s="15"/>
      <c r="G16" s="15"/>
      <c r="H16" s="15"/>
      <c r="I16" s="15"/>
      <c r="J16" s="15"/>
    </row>
    <row r="17" spans="1:10">
      <c r="A17" s="13"/>
      <c r="B17" s="13"/>
      <c r="C17" s="13"/>
      <c r="D17" s="13"/>
      <c r="F17" s="15"/>
      <c r="G17" s="15"/>
      <c r="H17" s="15"/>
      <c r="I17" s="15"/>
      <c r="J17" s="15"/>
    </row>
    <row r="18" spans="1:10">
      <c r="A18" s="13"/>
      <c r="B18" s="13"/>
      <c r="C18" s="13"/>
      <c r="D18" s="13"/>
      <c r="F18" s="15"/>
      <c r="G18" s="15"/>
      <c r="H18" s="15"/>
      <c r="I18" s="15"/>
      <c r="J18" s="15"/>
    </row>
    <row r="19" spans="1:10">
      <c r="A19" s="13"/>
      <c r="B19" s="13"/>
      <c r="C19" s="13"/>
      <c r="D19" s="13"/>
      <c r="F19" s="15"/>
      <c r="G19" s="15"/>
      <c r="H19" s="15"/>
      <c r="I19" s="15"/>
      <c r="J19" s="15"/>
    </row>
    <row r="20" spans="1:10">
      <c r="A20" s="13"/>
      <c r="B20" s="13"/>
      <c r="C20" s="13"/>
      <c r="D20" s="13"/>
      <c r="F20" s="15"/>
      <c r="G20" s="15"/>
      <c r="H20" s="15"/>
      <c r="I20" s="15"/>
      <c r="J20" s="15"/>
    </row>
    <row r="21" spans="1:10">
      <c r="A21" s="13"/>
      <c r="B21" s="13"/>
      <c r="C21" s="13"/>
      <c r="D21" s="13"/>
      <c r="F21" s="15"/>
      <c r="G21" s="15"/>
      <c r="H21" s="15"/>
      <c r="I21" s="15"/>
      <c r="J21" s="15"/>
    </row>
    <row r="23" spans="1:10">
      <c r="A23" s="17"/>
      <c r="B23" s="18" t="str">
        <f>_xlfn.CONCAT("Pre-inc time : ",Data!$A$40," min")</f>
        <v>Pre-inc time : 0 min</v>
      </c>
      <c r="C23" s="18" t="str">
        <f>_xlfn.CONCAT("Inc time : ",Data!$B$40," min")</f>
        <v>Inc time : 5 min</v>
      </c>
      <c r="D23" s="17"/>
      <c r="F23" s="19"/>
      <c r="G23" s="20" t="str">
        <f>_xlfn.CONCAT("Pre-inc time : ",Data!$A$53," min")</f>
        <v>Pre-inc time : 0 min</v>
      </c>
      <c r="H23" s="20" t="str">
        <f>_xlfn.CONCAT("Inc time : ",Data!$B$53," min")</f>
        <v>Inc time : 10 min</v>
      </c>
      <c r="I23" s="19"/>
      <c r="J23" s="19"/>
    </row>
    <row r="24" spans="1:10">
      <c r="A24" s="17"/>
      <c r="B24" s="17"/>
      <c r="C24" s="17"/>
      <c r="D24" s="17"/>
      <c r="F24" s="19"/>
      <c r="G24" s="19"/>
      <c r="H24" s="19"/>
      <c r="I24" s="19"/>
      <c r="J24" s="19"/>
    </row>
    <row r="25" spans="1:10">
      <c r="A25" s="17"/>
      <c r="B25" s="17"/>
      <c r="C25" s="17"/>
      <c r="D25" s="17"/>
      <c r="F25" s="19"/>
      <c r="G25" s="19"/>
      <c r="H25" s="19"/>
      <c r="I25" s="19"/>
      <c r="J25" s="19"/>
    </row>
    <row r="26" spans="1:10">
      <c r="A26" s="17"/>
      <c r="B26" s="17"/>
      <c r="C26" s="17"/>
      <c r="D26" s="17"/>
      <c r="F26" s="19"/>
      <c r="G26" s="19"/>
      <c r="H26" s="19"/>
      <c r="I26" s="19"/>
      <c r="J26" s="19"/>
    </row>
    <row r="27" spans="1:10">
      <c r="A27" s="17"/>
      <c r="B27" s="17"/>
      <c r="C27" s="17"/>
      <c r="D27" s="17"/>
      <c r="F27" s="19"/>
      <c r="G27" s="19"/>
      <c r="H27" s="19"/>
      <c r="I27" s="19"/>
      <c r="J27" s="19"/>
    </row>
    <row r="28" spans="1:10">
      <c r="A28" s="17"/>
      <c r="B28" s="17"/>
      <c r="C28" s="17"/>
      <c r="D28" s="17"/>
      <c r="F28" s="19"/>
      <c r="G28" s="19"/>
      <c r="H28" s="19"/>
      <c r="I28" s="19"/>
      <c r="J28" s="19"/>
    </row>
    <row r="29" spans="1:10">
      <c r="A29" s="17"/>
      <c r="B29" s="17"/>
      <c r="C29" s="17"/>
      <c r="D29" s="17"/>
      <c r="F29" s="19"/>
      <c r="G29" s="19"/>
      <c r="H29" s="19"/>
      <c r="I29" s="19"/>
      <c r="J29" s="19"/>
    </row>
    <row r="30" spans="1:10">
      <c r="A30" s="17"/>
      <c r="B30" s="17"/>
      <c r="C30" s="17"/>
      <c r="D30" s="17"/>
      <c r="F30" s="19"/>
      <c r="G30" s="19"/>
      <c r="H30" s="19"/>
      <c r="I30" s="19"/>
      <c r="J30" s="19"/>
    </row>
    <row r="31" spans="1:10">
      <c r="A31" s="17"/>
      <c r="B31" s="17"/>
      <c r="C31" s="17"/>
      <c r="D31" s="17"/>
      <c r="F31" s="19"/>
      <c r="G31" s="19"/>
      <c r="H31" s="19"/>
      <c r="I31" s="19"/>
      <c r="J31" s="19"/>
    </row>
    <row r="32" spans="1:10">
      <c r="A32" s="17"/>
      <c r="B32" s="17"/>
      <c r="C32" s="17"/>
      <c r="D32" s="17"/>
      <c r="F32" s="19"/>
      <c r="G32" s="19"/>
      <c r="H32" s="19"/>
      <c r="I32" s="19"/>
      <c r="J32" s="19"/>
    </row>
    <row r="33" spans="1:10">
      <c r="A33" s="17"/>
      <c r="B33" s="17"/>
      <c r="C33" s="17"/>
      <c r="D33" s="17"/>
      <c r="F33" s="19"/>
      <c r="G33" s="19"/>
      <c r="H33" s="19"/>
      <c r="I33" s="19"/>
      <c r="J33" s="19"/>
    </row>
    <row r="34" spans="1:10">
      <c r="A34" s="17"/>
      <c r="B34" s="17"/>
      <c r="C34" s="17"/>
      <c r="D34" s="17"/>
      <c r="F34" s="19"/>
      <c r="G34" s="19"/>
      <c r="H34" s="19"/>
      <c r="I34" s="19"/>
      <c r="J34" s="19"/>
    </row>
    <row r="35" spans="1:10">
      <c r="A35" s="17"/>
      <c r="B35" s="17"/>
      <c r="C35" s="17"/>
      <c r="D35" s="17"/>
      <c r="F35" s="19"/>
      <c r="G35" s="19"/>
      <c r="H35" s="19"/>
      <c r="I35" s="19"/>
      <c r="J35" s="19"/>
    </row>
    <row r="36" spans="1:10">
      <c r="A36" s="17"/>
      <c r="B36" s="17"/>
      <c r="C36" s="17"/>
      <c r="D36" s="17"/>
      <c r="F36" s="19"/>
      <c r="G36" s="19"/>
      <c r="H36" s="19"/>
      <c r="I36" s="19"/>
      <c r="J36" s="19"/>
    </row>
    <row r="37" spans="1:10">
      <c r="A37" s="17"/>
      <c r="B37" s="17"/>
      <c r="C37" s="17"/>
      <c r="D37" s="17"/>
      <c r="F37" s="19"/>
      <c r="G37" s="19"/>
      <c r="H37" s="19"/>
      <c r="I37" s="19"/>
      <c r="J37" s="19"/>
    </row>
    <row r="39" spans="1:10">
      <c r="A39" s="21"/>
      <c r="B39" s="22" t="str">
        <f>_xlfn.CONCAT("Pre-inc time : ",Data!$A$66," min")</f>
        <v>Pre-inc time : 0 min</v>
      </c>
      <c r="C39" s="22" t="str">
        <f>_xlfn.CONCAT("Inc time : ",Data!$B$66," min")</f>
        <v>Inc time : 20 min</v>
      </c>
      <c r="D39" s="21"/>
      <c r="F39" s="1"/>
      <c r="G39" s="12" t="str">
        <f>_xlfn.CONCAT("Pre-inc time : ",Data!$A$79," min")</f>
        <v>Pre-inc time : 0 min</v>
      </c>
      <c r="H39" s="12" t="str">
        <f>_xlfn.CONCAT("Inc time : ",Data!$B$79," min")</f>
        <v>Inc time : 50 min</v>
      </c>
      <c r="I39" s="1"/>
      <c r="J39" s="1"/>
    </row>
    <row r="40" spans="1:10">
      <c r="A40" s="21"/>
      <c r="B40" s="21"/>
      <c r="C40" s="21"/>
      <c r="D40" s="21"/>
      <c r="F40" s="1"/>
      <c r="G40" s="1"/>
      <c r="H40" s="1"/>
      <c r="I40" s="1"/>
      <c r="J40" s="1"/>
    </row>
    <row r="41" spans="1:10">
      <c r="A41" s="21"/>
      <c r="B41" s="21"/>
      <c r="C41" s="21"/>
      <c r="D41" s="21"/>
      <c r="F41" s="1"/>
      <c r="G41" s="1"/>
      <c r="H41" s="1"/>
      <c r="I41" s="1"/>
      <c r="J41" s="1"/>
    </row>
    <row r="42" spans="1:10">
      <c r="A42" s="21"/>
      <c r="B42" s="21"/>
      <c r="C42" s="21"/>
      <c r="D42" s="21"/>
      <c r="F42" s="1"/>
      <c r="G42" s="1"/>
      <c r="H42" s="1"/>
      <c r="I42" s="1"/>
      <c r="J42" s="1"/>
    </row>
    <row r="43" spans="1:10">
      <c r="A43" s="21"/>
      <c r="B43" s="21"/>
      <c r="C43" s="21"/>
      <c r="D43" s="21"/>
      <c r="F43" s="1"/>
      <c r="G43" s="1"/>
      <c r="H43" s="1"/>
      <c r="I43" s="1"/>
      <c r="J43" s="1"/>
    </row>
    <row r="44" spans="1:10">
      <c r="A44" s="21"/>
      <c r="B44" s="21"/>
      <c r="C44" s="21"/>
      <c r="D44" s="21"/>
      <c r="F44" s="1"/>
      <c r="G44" s="1"/>
      <c r="H44" s="1"/>
      <c r="I44" s="1"/>
      <c r="J44" s="1"/>
    </row>
    <row r="45" spans="1:10">
      <c r="A45" s="21"/>
      <c r="B45" s="21"/>
      <c r="C45" s="21"/>
      <c r="D45" s="21"/>
      <c r="F45" s="1"/>
      <c r="G45" s="1"/>
      <c r="H45" s="1"/>
      <c r="I45" s="1"/>
      <c r="J45" s="1"/>
    </row>
    <row r="46" spans="1:10">
      <c r="A46" s="21"/>
      <c r="B46" s="21"/>
      <c r="C46" s="21"/>
      <c r="D46" s="21"/>
      <c r="F46" s="1"/>
      <c r="G46" s="1"/>
      <c r="H46" s="1"/>
      <c r="I46" s="1"/>
      <c r="J46" s="1"/>
    </row>
    <row r="47" spans="1:10">
      <c r="A47" s="21"/>
      <c r="B47" s="21"/>
      <c r="C47" s="21"/>
      <c r="D47" s="21"/>
      <c r="F47" s="1"/>
      <c r="G47" s="1"/>
      <c r="H47" s="1"/>
      <c r="I47" s="1"/>
      <c r="J47" s="1"/>
    </row>
    <row r="48" spans="1:10">
      <c r="A48" s="21"/>
      <c r="B48" s="21"/>
      <c r="C48" s="21"/>
      <c r="D48" s="21"/>
      <c r="F48" s="1"/>
      <c r="G48" s="1"/>
      <c r="H48" s="1"/>
      <c r="I48" s="1"/>
      <c r="J48" s="1"/>
    </row>
    <row r="49" spans="1:10">
      <c r="A49" s="21"/>
      <c r="B49" s="21"/>
      <c r="C49" s="21"/>
      <c r="D49" s="21"/>
      <c r="F49" s="1"/>
      <c r="G49" s="1"/>
      <c r="H49" s="1"/>
      <c r="I49" s="1"/>
      <c r="J49" s="1"/>
    </row>
    <row r="50" spans="1:10">
      <c r="A50" s="21"/>
      <c r="B50" s="21"/>
      <c r="C50" s="21"/>
      <c r="D50" s="21"/>
      <c r="F50" s="1"/>
      <c r="G50" s="1"/>
      <c r="H50" s="1"/>
      <c r="I50" s="1"/>
      <c r="J50" s="1"/>
    </row>
    <row r="51" spans="1:10">
      <c r="A51" s="21"/>
      <c r="B51" s="21"/>
      <c r="C51" s="21"/>
      <c r="D51" s="21"/>
      <c r="F51" s="1"/>
      <c r="G51" s="1"/>
      <c r="H51" s="1"/>
      <c r="I51" s="1"/>
      <c r="J51" s="1"/>
    </row>
    <row r="52" spans="1:10">
      <c r="A52" s="21"/>
      <c r="B52" s="21"/>
      <c r="C52" s="21"/>
      <c r="D52" s="21"/>
      <c r="F52" s="1"/>
      <c r="G52" s="1"/>
      <c r="H52" s="1"/>
      <c r="I52" s="1"/>
      <c r="J52" s="1"/>
    </row>
    <row r="53" spans="1:10">
      <c r="A53" s="21"/>
      <c r="B53" s="21"/>
      <c r="C53" s="21"/>
      <c r="D53" s="21"/>
      <c r="F53" s="1"/>
      <c r="G53" s="1"/>
      <c r="H53" s="1"/>
      <c r="I53" s="1"/>
      <c r="J53" s="1"/>
    </row>
    <row r="55" spans="1:10">
      <c r="A55" s="37"/>
    </row>
    <row r="56" spans="1:10">
      <c r="A56" s="37"/>
    </row>
  </sheetData>
  <pageMargins left="0.7" right="0.7" top="0.75" bottom="0.75" header="0.3" footer="0.3"/>
  <pageSetup scale="51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Data</vt:lpstr>
      <vt:lpstr>Report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W. Keillor</dc:creator>
  <cp:lastModifiedBy>Jeffrey Keillor</cp:lastModifiedBy>
  <cp:lastPrinted>2024-04-15T13:58:14Z</cp:lastPrinted>
  <dcterms:created xsi:type="dcterms:W3CDTF">2023-02-27T15:19:06Z</dcterms:created>
  <dcterms:modified xsi:type="dcterms:W3CDTF">2025-01-17T20:50:42Z</dcterms:modified>
</cp:coreProperties>
</file>